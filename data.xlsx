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rojekte\GLSP-MCP-COPY\tasks\"/>
    </mc:Choice>
  </mc:AlternateContent>
  <xr:revisionPtr revIDLastSave="0" documentId="13_ncr:1_{A20B36EE-D89C-49F7-8E07-28D2F67ECE75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Task 1" sheetId="1" r:id="rId1"/>
    <sheet name="Task 2" sheetId="3" r:id="rId2"/>
    <sheet name="Task 3" sheetId="5" r:id="rId3"/>
    <sheet name="Task 3.5" sheetId="6" r:id="rId4"/>
    <sheet name="Task 4" sheetId="7" r:id="rId5"/>
    <sheet name="Task 4.5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8" l="1"/>
  <c r="I32" i="8" s="1"/>
  <c r="F40" i="8"/>
  <c r="G32" i="8" s="1"/>
  <c r="E40" i="8"/>
  <c r="E41" i="8" s="1"/>
  <c r="D40" i="8"/>
  <c r="D41" i="8" s="1"/>
  <c r="C40" i="8"/>
  <c r="C41" i="8" s="1"/>
  <c r="I39" i="8"/>
  <c r="G39" i="8"/>
  <c r="I38" i="8"/>
  <c r="G38" i="8"/>
  <c r="I37" i="8"/>
  <c r="G37" i="8"/>
  <c r="I36" i="8"/>
  <c r="G36" i="8"/>
  <c r="I35" i="8"/>
  <c r="G35" i="8"/>
  <c r="I34" i="8"/>
  <c r="G34" i="8"/>
  <c r="I33" i="8"/>
  <c r="G33" i="8"/>
  <c r="I30" i="8"/>
  <c r="G30" i="8"/>
  <c r="H28" i="8"/>
  <c r="I23" i="8" s="1"/>
  <c r="F28" i="8"/>
  <c r="G23" i="8" s="1"/>
  <c r="E28" i="8"/>
  <c r="E29" i="8" s="1"/>
  <c r="D28" i="8"/>
  <c r="D29" i="8" s="1"/>
  <c r="C28" i="8"/>
  <c r="C29" i="8" s="1"/>
  <c r="H16" i="8"/>
  <c r="I14" i="8" s="1"/>
  <c r="F16" i="8"/>
  <c r="G14" i="8" s="1"/>
  <c r="E16" i="8"/>
  <c r="E17" i="8" s="1"/>
  <c r="D16" i="8"/>
  <c r="D17" i="8" s="1"/>
  <c r="C16" i="8"/>
  <c r="C17" i="8" s="1"/>
  <c r="I15" i="8"/>
  <c r="G15" i="8"/>
  <c r="I6" i="8"/>
  <c r="G6" i="8"/>
  <c r="H81" i="7"/>
  <c r="I73" i="7" s="1"/>
  <c r="F81" i="7"/>
  <c r="G73" i="7" s="1"/>
  <c r="E81" i="7"/>
  <c r="E82" i="7" s="1"/>
  <c r="D81" i="7"/>
  <c r="D82" i="7" s="1"/>
  <c r="C81" i="7"/>
  <c r="C82" i="7" s="1"/>
  <c r="G80" i="7"/>
  <c r="G79" i="7"/>
  <c r="I78" i="7"/>
  <c r="G78" i="7"/>
  <c r="I77" i="7"/>
  <c r="G77" i="7"/>
  <c r="I76" i="7"/>
  <c r="G76" i="7"/>
  <c r="I75" i="7"/>
  <c r="G75" i="7"/>
  <c r="I74" i="7"/>
  <c r="G74" i="7"/>
  <c r="I71" i="7"/>
  <c r="G71" i="7"/>
  <c r="H69" i="7"/>
  <c r="I64" i="7" s="1"/>
  <c r="F69" i="7"/>
  <c r="G64" i="7" s="1"/>
  <c r="E69" i="7"/>
  <c r="E70" i="7" s="1"/>
  <c r="D69" i="7"/>
  <c r="D70" i="7" s="1"/>
  <c r="C69" i="7"/>
  <c r="C70" i="7" s="1"/>
  <c r="H57" i="7"/>
  <c r="I55" i="7" s="1"/>
  <c r="F57" i="7"/>
  <c r="G55" i="7" s="1"/>
  <c r="E57" i="7"/>
  <c r="E58" i="7" s="1"/>
  <c r="D57" i="7"/>
  <c r="D58" i="7" s="1"/>
  <c r="C57" i="7"/>
  <c r="C58" i="7" s="1"/>
  <c r="I56" i="7"/>
  <c r="G56" i="7"/>
  <c r="I47" i="7"/>
  <c r="AG38" i="7"/>
  <c r="AH37" i="7" s="1"/>
  <c r="AE38" i="7"/>
  <c r="AF37" i="7" s="1"/>
  <c r="AB37" i="7"/>
  <c r="AA37" i="7"/>
  <c r="V37" i="7"/>
  <c r="U37" i="7"/>
  <c r="R37" i="7"/>
  <c r="Q37" i="7"/>
  <c r="AC37" i="7" s="1"/>
  <c r="AB36" i="7"/>
  <c r="AA36" i="7"/>
  <c r="V36" i="7"/>
  <c r="U36" i="7"/>
  <c r="R36" i="7"/>
  <c r="Q36" i="7"/>
  <c r="AC36" i="7" s="1"/>
  <c r="AB35" i="7"/>
  <c r="AA35" i="7"/>
  <c r="V35" i="7"/>
  <c r="U35" i="7"/>
  <c r="R35" i="7"/>
  <c r="AD35" i="7" s="1"/>
  <c r="Q35" i="7"/>
  <c r="AC35" i="7" s="1"/>
  <c r="AB34" i="7"/>
  <c r="AA34" i="7"/>
  <c r="V34" i="7"/>
  <c r="U34" i="7"/>
  <c r="R34" i="7"/>
  <c r="AD34" i="7" s="1"/>
  <c r="Q34" i="7"/>
  <c r="AC34" i="7" s="1"/>
  <c r="AB33" i="7"/>
  <c r="AA33" i="7"/>
  <c r="V33" i="7"/>
  <c r="U33" i="7"/>
  <c r="R33" i="7"/>
  <c r="Q33" i="7"/>
  <c r="AB32" i="7"/>
  <c r="AA32" i="7"/>
  <c r="V32" i="7"/>
  <c r="U32" i="7"/>
  <c r="R32" i="7"/>
  <c r="Q32" i="7"/>
  <c r="AC32" i="7" s="1"/>
  <c r="AB31" i="7"/>
  <c r="AA31" i="7"/>
  <c r="V31" i="7"/>
  <c r="U31" i="7"/>
  <c r="R31" i="7"/>
  <c r="AD31" i="7" s="1"/>
  <c r="Q31" i="7"/>
  <c r="AC31" i="7" s="1"/>
  <c r="AB30" i="7"/>
  <c r="AA30" i="7"/>
  <c r="V30" i="7"/>
  <c r="U30" i="7"/>
  <c r="R30" i="7"/>
  <c r="AD30" i="7" s="1"/>
  <c r="Q30" i="7"/>
  <c r="AB29" i="7"/>
  <c r="AA29" i="7"/>
  <c r="V29" i="7"/>
  <c r="U29" i="7"/>
  <c r="R29" i="7"/>
  <c r="AD29" i="7" s="1"/>
  <c r="Q29" i="7"/>
  <c r="AC29" i="7" s="1"/>
  <c r="AB28" i="7"/>
  <c r="AA28" i="7"/>
  <c r="V28" i="7"/>
  <c r="U28" i="7"/>
  <c r="R28" i="7"/>
  <c r="Q28" i="7"/>
  <c r="AG27" i="7"/>
  <c r="AH22" i="7" s="1"/>
  <c r="AE27" i="7"/>
  <c r="AF22" i="7" s="1"/>
  <c r="AB26" i="7"/>
  <c r="AA26" i="7"/>
  <c r="V26" i="7"/>
  <c r="U26" i="7"/>
  <c r="R26" i="7"/>
  <c r="AD26" i="7" s="1"/>
  <c r="Q26" i="7"/>
  <c r="AC26" i="7" s="1"/>
  <c r="AB25" i="7"/>
  <c r="AA25" i="7"/>
  <c r="V25" i="7"/>
  <c r="U25" i="7"/>
  <c r="R25" i="7"/>
  <c r="Q25" i="7"/>
  <c r="AC25" i="7" s="1"/>
  <c r="AB24" i="7"/>
  <c r="AA24" i="7"/>
  <c r="V24" i="7"/>
  <c r="U24" i="7"/>
  <c r="R24" i="7"/>
  <c r="AD24" i="7" s="1"/>
  <c r="Q24" i="7"/>
  <c r="AC24" i="7" s="1"/>
  <c r="AB23" i="7"/>
  <c r="AA23" i="7"/>
  <c r="V23" i="7"/>
  <c r="U23" i="7"/>
  <c r="R23" i="7"/>
  <c r="Q23" i="7"/>
  <c r="AB22" i="7"/>
  <c r="AA22" i="7"/>
  <c r="V22" i="7"/>
  <c r="U22" i="7"/>
  <c r="R22" i="7"/>
  <c r="Q22" i="7"/>
  <c r="AB21" i="7"/>
  <c r="AA21" i="7"/>
  <c r="V21" i="7"/>
  <c r="U21" i="7"/>
  <c r="R21" i="7"/>
  <c r="Q21" i="7"/>
  <c r="AC21" i="7" s="1"/>
  <c r="AB20" i="7"/>
  <c r="AA20" i="7"/>
  <c r="V20" i="7"/>
  <c r="U20" i="7"/>
  <c r="R20" i="7"/>
  <c r="AD20" i="7" s="1"/>
  <c r="Q20" i="7"/>
  <c r="AC20" i="7" s="1"/>
  <c r="AB19" i="7"/>
  <c r="AA19" i="7"/>
  <c r="V19" i="7"/>
  <c r="U19" i="7"/>
  <c r="R19" i="7"/>
  <c r="Q19" i="7"/>
  <c r="AB18" i="7"/>
  <c r="AA18" i="7"/>
  <c r="V18" i="7"/>
  <c r="U18" i="7"/>
  <c r="R18" i="7"/>
  <c r="Q18" i="7"/>
  <c r="AB17" i="7"/>
  <c r="AA17" i="7"/>
  <c r="V17" i="7"/>
  <c r="U17" i="7"/>
  <c r="R17" i="7"/>
  <c r="AD17" i="7" s="1"/>
  <c r="Q17" i="7"/>
  <c r="AC17" i="7" s="1"/>
  <c r="AG16" i="7"/>
  <c r="AH12" i="7" s="1"/>
  <c r="AE16" i="7"/>
  <c r="AF12" i="7" s="1"/>
  <c r="AB15" i="7"/>
  <c r="AA15" i="7"/>
  <c r="V15" i="7"/>
  <c r="U15" i="7"/>
  <c r="R15" i="7"/>
  <c r="Q15" i="7"/>
  <c r="AC15" i="7" s="1"/>
  <c r="AB14" i="7"/>
  <c r="AA14" i="7"/>
  <c r="V14" i="7"/>
  <c r="U14" i="7"/>
  <c r="R14" i="7"/>
  <c r="Q14" i="7"/>
  <c r="AC14" i="7" s="1"/>
  <c r="AB13" i="7"/>
  <c r="AA13" i="7"/>
  <c r="V13" i="7"/>
  <c r="U13" i="7"/>
  <c r="R13" i="7"/>
  <c r="Q13" i="7"/>
  <c r="AB12" i="7"/>
  <c r="AA12" i="7"/>
  <c r="V12" i="7"/>
  <c r="U12" i="7"/>
  <c r="R12" i="7"/>
  <c r="AD12" i="7" s="1"/>
  <c r="Q12" i="7"/>
  <c r="AB11" i="7"/>
  <c r="AA11" i="7"/>
  <c r="V11" i="7"/>
  <c r="U11" i="7"/>
  <c r="R11" i="7"/>
  <c r="AD11" i="7" s="1"/>
  <c r="Q11" i="7"/>
  <c r="AC11" i="7" s="1"/>
  <c r="AB10" i="7"/>
  <c r="AA10" i="7"/>
  <c r="V10" i="7"/>
  <c r="U10" i="7"/>
  <c r="R10" i="7"/>
  <c r="AD10" i="7" s="1"/>
  <c r="Q10" i="7"/>
  <c r="AB9" i="7"/>
  <c r="AA9" i="7"/>
  <c r="V9" i="7"/>
  <c r="U9" i="7"/>
  <c r="R9" i="7"/>
  <c r="AD9" i="7" s="1"/>
  <c r="Q9" i="7"/>
  <c r="AC9" i="7" s="1"/>
  <c r="AB8" i="7"/>
  <c r="AA8" i="7"/>
  <c r="V8" i="7"/>
  <c r="U8" i="7"/>
  <c r="R8" i="7"/>
  <c r="Q8" i="7"/>
  <c r="AB7" i="7"/>
  <c r="AA7" i="7"/>
  <c r="V7" i="7"/>
  <c r="U7" i="7"/>
  <c r="R7" i="7"/>
  <c r="AD7" i="7" s="1"/>
  <c r="Q7" i="7"/>
  <c r="AC7" i="7" s="1"/>
  <c r="AB6" i="7"/>
  <c r="AA6" i="7"/>
  <c r="V6" i="7"/>
  <c r="U6" i="7"/>
  <c r="R6" i="7"/>
  <c r="AD6" i="7" s="1"/>
  <c r="Q6" i="7"/>
  <c r="AC6" i="7" s="1"/>
  <c r="H40" i="6"/>
  <c r="I32" i="6" s="1"/>
  <c r="F40" i="6"/>
  <c r="G32" i="6" s="1"/>
  <c r="E40" i="6"/>
  <c r="E41" i="6" s="1"/>
  <c r="D40" i="6"/>
  <c r="D41" i="6" s="1"/>
  <c r="C40" i="6"/>
  <c r="C41" i="6" s="1"/>
  <c r="I39" i="6"/>
  <c r="G39" i="6"/>
  <c r="I38" i="6"/>
  <c r="G38" i="6"/>
  <c r="I37" i="6"/>
  <c r="G37" i="6"/>
  <c r="I36" i="6"/>
  <c r="G36" i="6"/>
  <c r="I35" i="6"/>
  <c r="G35" i="6"/>
  <c r="I34" i="6"/>
  <c r="G34" i="6"/>
  <c r="I33" i="6"/>
  <c r="H28" i="6"/>
  <c r="I23" i="6" s="1"/>
  <c r="F28" i="6"/>
  <c r="G23" i="6" s="1"/>
  <c r="E28" i="6"/>
  <c r="E29" i="6" s="1"/>
  <c r="D28" i="6"/>
  <c r="D29" i="6" s="1"/>
  <c r="C28" i="6"/>
  <c r="C29" i="6" s="1"/>
  <c r="H16" i="6"/>
  <c r="I14" i="6" s="1"/>
  <c r="F16" i="6"/>
  <c r="G14" i="6" s="1"/>
  <c r="E16" i="6"/>
  <c r="E17" i="6" s="1"/>
  <c r="D16" i="6"/>
  <c r="D17" i="6" s="1"/>
  <c r="C16" i="6"/>
  <c r="C17" i="6" s="1"/>
  <c r="H81" i="5"/>
  <c r="I73" i="5" s="1"/>
  <c r="F81" i="5"/>
  <c r="G73" i="5" s="1"/>
  <c r="E81" i="5"/>
  <c r="E82" i="5" s="1"/>
  <c r="D81" i="5"/>
  <c r="D82" i="5" s="1"/>
  <c r="C81" i="5"/>
  <c r="C82" i="5" s="1"/>
  <c r="I80" i="5"/>
  <c r="G80" i="5"/>
  <c r="I79" i="5"/>
  <c r="G79" i="5"/>
  <c r="I78" i="5"/>
  <c r="G78" i="5"/>
  <c r="I77" i="5"/>
  <c r="G77" i="5"/>
  <c r="I76" i="5"/>
  <c r="G76" i="5"/>
  <c r="I75" i="5"/>
  <c r="G75" i="5"/>
  <c r="I74" i="5"/>
  <c r="G74" i="5"/>
  <c r="I71" i="5"/>
  <c r="H69" i="5"/>
  <c r="I64" i="5" s="1"/>
  <c r="F69" i="5"/>
  <c r="G64" i="5" s="1"/>
  <c r="E69" i="5"/>
  <c r="E70" i="5" s="1"/>
  <c r="D69" i="5"/>
  <c r="D70" i="5" s="1"/>
  <c r="C69" i="5"/>
  <c r="C70" i="5" s="1"/>
  <c r="H57" i="5"/>
  <c r="I55" i="5" s="1"/>
  <c r="F57" i="5"/>
  <c r="G55" i="5" s="1"/>
  <c r="E57" i="5"/>
  <c r="E58" i="5" s="1"/>
  <c r="D57" i="5"/>
  <c r="D58" i="5" s="1"/>
  <c r="C57" i="5"/>
  <c r="C58" i="5" s="1"/>
  <c r="I56" i="5"/>
  <c r="I47" i="5"/>
  <c r="AG38" i="5"/>
  <c r="AH37" i="5" s="1"/>
  <c r="AE38" i="5"/>
  <c r="AF32" i="5" s="1"/>
  <c r="AB37" i="5"/>
  <c r="AA37" i="5"/>
  <c r="V37" i="5"/>
  <c r="U37" i="5"/>
  <c r="R37" i="5"/>
  <c r="Q37" i="5"/>
  <c r="AB36" i="5"/>
  <c r="AA36" i="5"/>
  <c r="V36" i="5"/>
  <c r="U36" i="5"/>
  <c r="R36" i="5"/>
  <c r="Q36" i="5"/>
  <c r="AB35" i="5"/>
  <c r="AA35" i="5"/>
  <c r="V35" i="5"/>
  <c r="U35" i="5"/>
  <c r="R35" i="5"/>
  <c r="AD35" i="5" s="1"/>
  <c r="Q35" i="5"/>
  <c r="AC35" i="5" s="1"/>
  <c r="AB34" i="5"/>
  <c r="AA34" i="5"/>
  <c r="V34" i="5"/>
  <c r="U34" i="5"/>
  <c r="R34" i="5"/>
  <c r="Q34" i="5"/>
  <c r="AB33" i="5"/>
  <c r="AA33" i="5"/>
  <c r="V33" i="5"/>
  <c r="U33" i="5"/>
  <c r="R33" i="5"/>
  <c r="Q33" i="5"/>
  <c r="AB32" i="5"/>
  <c r="AA32" i="5"/>
  <c r="V32" i="5"/>
  <c r="U32" i="5"/>
  <c r="R32" i="5"/>
  <c r="Q32" i="5"/>
  <c r="AB31" i="5"/>
  <c r="AA31" i="5"/>
  <c r="V31" i="5"/>
  <c r="U31" i="5"/>
  <c r="R31" i="5"/>
  <c r="AD31" i="5" s="1"/>
  <c r="Q31" i="5"/>
  <c r="AC31" i="5" s="1"/>
  <c r="AB30" i="5"/>
  <c r="AA30" i="5"/>
  <c r="V30" i="5"/>
  <c r="U30" i="5"/>
  <c r="R30" i="5"/>
  <c r="Q30" i="5"/>
  <c r="AB29" i="5"/>
  <c r="AA29" i="5"/>
  <c r="V29" i="5"/>
  <c r="U29" i="5"/>
  <c r="R29" i="5"/>
  <c r="Q29" i="5"/>
  <c r="AC29" i="5" s="1"/>
  <c r="AB28" i="5"/>
  <c r="AA28" i="5"/>
  <c r="V28" i="5"/>
  <c r="U28" i="5"/>
  <c r="R28" i="5"/>
  <c r="AD28" i="5" s="1"/>
  <c r="Q28" i="5"/>
  <c r="AG27" i="5"/>
  <c r="AH22" i="5" s="1"/>
  <c r="AE27" i="5"/>
  <c r="AF23" i="5" s="1"/>
  <c r="AB26" i="5"/>
  <c r="AA26" i="5"/>
  <c r="V26" i="5"/>
  <c r="U26" i="5"/>
  <c r="R26" i="5"/>
  <c r="Q26" i="5"/>
  <c r="AB25" i="5"/>
  <c r="AA25" i="5"/>
  <c r="V25" i="5"/>
  <c r="U25" i="5"/>
  <c r="R25" i="5"/>
  <c r="Q25" i="5"/>
  <c r="AB24" i="5"/>
  <c r="AA24" i="5"/>
  <c r="V24" i="5"/>
  <c r="U24" i="5"/>
  <c r="R24" i="5"/>
  <c r="Q24" i="5"/>
  <c r="AC24" i="5" s="1"/>
  <c r="AB23" i="5"/>
  <c r="AA23" i="5"/>
  <c r="V23" i="5"/>
  <c r="U23" i="5"/>
  <c r="R23" i="5"/>
  <c r="Q23" i="5"/>
  <c r="AB22" i="5"/>
  <c r="AA22" i="5"/>
  <c r="V22" i="5"/>
  <c r="U22" i="5"/>
  <c r="R22" i="5"/>
  <c r="Q22" i="5"/>
  <c r="AB21" i="5"/>
  <c r="AA21" i="5"/>
  <c r="V21" i="5"/>
  <c r="U21" i="5"/>
  <c r="R21" i="5"/>
  <c r="AD21" i="5" s="1"/>
  <c r="Q21" i="5"/>
  <c r="AB20" i="5"/>
  <c r="AA20" i="5"/>
  <c r="V20" i="5"/>
  <c r="U20" i="5"/>
  <c r="R20" i="5"/>
  <c r="Q20" i="5"/>
  <c r="AB19" i="5"/>
  <c r="AA19" i="5"/>
  <c r="V19" i="5"/>
  <c r="U19" i="5"/>
  <c r="R19" i="5"/>
  <c r="Q19" i="5"/>
  <c r="AB18" i="5"/>
  <c r="AA18" i="5"/>
  <c r="V18" i="5"/>
  <c r="U18" i="5"/>
  <c r="R18" i="5"/>
  <c r="AD18" i="5" s="1"/>
  <c r="Q18" i="5"/>
  <c r="AB17" i="5"/>
  <c r="AA17" i="5"/>
  <c r="V17" i="5"/>
  <c r="U17" i="5"/>
  <c r="R17" i="5"/>
  <c r="Q17" i="5"/>
  <c r="AC17" i="5" s="1"/>
  <c r="AG16" i="5"/>
  <c r="AH12" i="5" s="1"/>
  <c r="AE16" i="5"/>
  <c r="AF12" i="5" s="1"/>
  <c r="AB15" i="5"/>
  <c r="AA15" i="5"/>
  <c r="V15" i="5"/>
  <c r="U15" i="5"/>
  <c r="R15" i="5"/>
  <c r="Q15" i="5"/>
  <c r="AB14" i="5"/>
  <c r="AA14" i="5"/>
  <c r="V14" i="5"/>
  <c r="U14" i="5"/>
  <c r="R14" i="5"/>
  <c r="AD14" i="5" s="1"/>
  <c r="Q14" i="5"/>
  <c r="AC14" i="5" s="1"/>
  <c r="AB13" i="5"/>
  <c r="AA13" i="5"/>
  <c r="V13" i="5"/>
  <c r="U13" i="5"/>
  <c r="R13" i="5"/>
  <c r="Q13" i="5"/>
  <c r="AB12" i="5"/>
  <c r="AA12" i="5"/>
  <c r="V12" i="5"/>
  <c r="U12" i="5"/>
  <c r="R12" i="5"/>
  <c r="Q12" i="5"/>
  <c r="AB11" i="5"/>
  <c r="AA11" i="5"/>
  <c r="V11" i="5"/>
  <c r="U11" i="5"/>
  <c r="R11" i="5"/>
  <c r="Q11" i="5"/>
  <c r="AC11" i="5" s="1"/>
  <c r="AH10" i="5"/>
  <c r="AF10" i="5"/>
  <c r="AB10" i="5"/>
  <c r="AA10" i="5"/>
  <c r="V10" i="5"/>
  <c r="U10" i="5"/>
  <c r="R10" i="5"/>
  <c r="AD10" i="5" s="1"/>
  <c r="Q10" i="5"/>
  <c r="AC10" i="5" s="1"/>
  <c r="AB9" i="5"/>
  <c r="AA9" i="5"/>
  <c r="V9" i="5"/>
  <c r="U9" i="5"/>
  <c r="R9" i="5"/>
  <c r="Q9" i="5"/>
  <c r="AF8" i="5"/>
  <c r="AB8" i="5"/>
  <c r="AA8" i="5"/>
  <c r="V8" i="5"/>
  <c r="U8" i="5"/>
  <c r="R8" i="5"/>
  <c r="Q8" i="5"/>
  <c r="AB7" i="5"/>
  <c r="AA7" i="5"/>
  <c r="V7" i="5"/>
  <c r="U7" i="5"/>
  <c r="R7" i="5"/>
  <c r="AD7" i="5" s="1"/>
  <c r="Q7" i="5"/>
  <c r="AB6" i="5"/>
  <c r="AA6" i="5"/>
  <c r="V6" i="5"/>
  <c r="U6" i="5"/>
  <c r="R6" i="5"/>
  <c r="Q6" i="5"/>
  <c r="AC6" i="5" s="1"/>
  <c r="H81" i="3"/>
  <c r="I73" i="3" s="1"/>
  <c r="F81" i="3"/>
  <c r="G73" i="3" s="1"/>
  <c r="E81" i="3"/>
  <c r="E82" i="3" s="1"/>
  <c r="D81" i="3"/>
  <c r="D82" i="3" s="1"/>
  <c r="C81" i="3"/>
  <c r="C82" i="3" s="1"/>
  <c r="I80" i="3"/>
  <c r="G80" i="3"/>
  <c r="I79" i="3"/>
  <c r="G79" i="3"/>
  <c r="I78" i="3"/>
  <c r="G78" i="3"/>
  <c r="I77" i="3"/>
  <c r="G77" i="3"/>
  <c r="I76" i="3"/>
  <c r="G76" i="3"/>
  <c r="I75" i="3"/>
  <c r="G75" i="3"/>
  <c r="I74" i="3"/>
  <c r="G74" i="3"/>
  <c r="I71" i="3"/>
  <c r="G71" i="3"/>
  <c r="H69" i="3"/>
  <c r="I64" i="3" s="1"/>
  <c r="F69" i="3"/>
  <c r="G64" i="3" s="1"/>
  <c r="E69" i="3"/>
  <c r="E70" i="3" s="1"/>
  <c r="D69" i="3"/>
  <c r="D70" i="3" s="1"/>
  <c r="C69" i="3"/>
  <c r="C70" i="3" s="1"/>
  <c r="H57" i="3"/>
  <c r="I55" i="3" s="1"/>
  <c r="F57" i="3"/>
  <c r="G47" i="3" s="1"/>
  <c r="E57" i="3"/>
  <c r="E58" i="3" s="1"/>
  <c r="D57" i="3"/>
  <c r="D58" i="3" s="1"/>
  <c r="C57" i="3"/>
  <c r="C58" i="3" s="1"/>
  <c r="AG38" i="3"/>
  <c r="AH37" i="3" s="1"/>
  <c r="AE38" i="3"/>
  <c r="AF37" i="3" s="1"/>
  <c r="AB37" i="3"/>
  <c r="AA37" i="3"/>
  <c r="V37" i="3"/>
  <c r="U37" i="3"/>
  <c r="R37" i="3"/>
  <c r="Q37" i="3"/>
  <c r="AC37" i="3" s="1"/>
  <c r="AB36" i="3"/>
  <c r="AA36" i="3"/>
  <c r="V36" i="3"/>
  <c r="U36" i="3"/>
  <c r="R36" i="3"/>
  <c r="Q36" i="3"/>
  <c r="AB35" i="3"/>
  <c r="AA35" i="3"/>
  <c r="V35" i="3"/>
  <c r="U35" i="3"/>
  <c r="R35" i="3"/>
  <c r="AD35" i="3" s="1"/>
  <c r="Q35" i="3"/>
  <c r="AC35" i="3" s="1"/>
  <c r="AB34" i="3"/>
  <c r="AA34" i="3"/>
  <c r="V34" i="3"/>
  <c r="U34" i="3"/>
  <c r="R34" i="3"/>
  <c r="AD34" i="3" s="1"/>
  <c r="Q34" i="3"/>
  <c r="AB33" i="3"/>
  <c r="AA33" i="3"/>
  <c r="V33" i="3"/>
  <c r="U33" i="3"/>
  <c r="R33" i="3"/>
  <c r="Q33" i="3"/>
  <c r="AB32" i="3"/>
  <c r="AA32" i="3"/>
  <c r="V32" i="3"/>
  <c r="U32" i="3"/>
  <c r="R32" i="3"/>
  <c r="Q32" i="3"/>
  <c r="AC32" i="3" s="1"/>
  <c r="AB31" i="3"/>
  <c r="AA31" i="3"/>
  <c r="V31" i="3"/>
  <c r="U31" i="3"/>
  <c r="R31" i="3"/>
  <c r="AD31" i="3" s="1"/>
  <c r="Q31" i="3"/>
  <c r="AC31" i="3" s="1"/>
  <c r="AB30" i="3"/>
  <c r="AA30" i="3"/>
  <c r="V30" i="3"/>
  <c r="U30" i="3"/>
  <c r="R30" i="3"/>
  <c r="Q30" i="3"/>
  <c r="AB29" i="3"/>
  <c r="AA29" i="3"/>
  <c r="V29" i="3"/>
  <c r="U29" i="3"/>
  <c r="R29" i="3"/>
  <c r="Q29" i="3"/>
  <c r="AB28" i="3"/>
  <c r="AA28" i="3"/>
  <c r="V28" i="3"/>
  <c r="U28" i="3"/>
  <c r="R28" i="3"/>
  <c r="Q28" i="3"/>
  <c r="AG27" i="3"/>
  <c r="AH22" i="3" s="1"/>
  <c r="AE27" i="3"/>
  <c r="AF22" i="3" s="1"/>
  <c r="AB26" i="3"/>
  <c r="AA26" i="3"/>
  <c r="V26" i="3"/>
  <c r="U26" i="3"/>
  <c r="R26" i="3"/>
  <c r="AD26" i="3" s="1"/>
  <c r="Q26" i="3"/>
  <c r="AC26" i="3" s="1"/>
  <c r="AH25" i="3"/>
  <c r="AB25" i="3"/>
  <c r="AA25" i="3"/>
  <c r="V25" i="3"/>
  <c r="U25" i="3"/>
  <c r="R25" i="3"/>
  <c r="AD25" i="3" s="1"/>
  <c r="Q25" i="3"/>
  <c r="AB24" i="3"/>
  <c r="AA24" i="3"/>
  <c r="V24" i="3"/>
  <c r="U24" i="3"/>
  <c r="R24" i="3"/>
  <c r="Q24" i="3"/>
  <c r="AB23" i="3"/>
  <c r="AA23" i="3"/>
  <c r="V23" i="3"/>
  <c r="U23" i="3"/>
  <c r="R23" i="3"/>
  <c r="Q23" i="3"/>
  <c r="AB22" i="3"/>
  <c r="AA22" i="3"/>
  <c r="V22" i="3"/>
  <c r="U22" i="3"/>
  <c r="R22" i="3"/>
  <c r="Q22" i="3"/>
  <c r="AC22" i="3" s="1"/>
  <c r="AB21" i="3"/>
  <c r="AA21" i="3"/>
  <c r="V21" i="3"/>
  <c r="U21" i="3"/>
  <c r="R21" i="3"/>
  <c r="Q21" i="3"/>
  <c r="AB20" i="3"/>
  <c r="AA20" i="3"/>
  <c r="V20" i="3"/>
  <c r="U20" i="3"/>
  <c r="R20" i="3"/>
  <c r="AD20" i="3" s="1"/>
  <c r="Q20" i="3"/>
  <c r="AC20" i="3" s="1"/>
  <c r="AB19" i="3"/>
  <c r="AA19" i="3"/>
  <c r="V19" i="3"/>
  <c r="U19" i="3"/>
  <c r="R19" i="3"/>
  <c r="Q19" i="3"/>
  <c r="AB18" i="3"/>
  <c r="AA18" i="3"/>
  <c r="V18" i="3"/>
  <c r="U18" i="3"/>
  <c r="R18" i="3"/>
  <c r="Q18" i="3"/>
  <c r="AB17" i="3"/>
  <c r="AA17" i="3"/>
  <c r="V17" i="3"/>
  <c r="U17" i="3"/>
  <c r="R17" i="3"/>
  <c r="AD17" i="3" s="1"/>
  <c r="Q17" i="3"/>
  <c r="AC17" i="3" s="1"/>
  <c r="AG16" i="3"/>
  <c r="AH12" i="3" s="1"/>
  <c r="AE16" i="3"/>
  <c r="AF7" i="3" s="1"/>
  <c r="AB15" i="3"/>
  <c r="AA15" i="3"/>
  <c r="V15" i="3"/>
  <c r="U15" i="3"/>
  <c r="R15" i="3"/>
  <c r="Q15" i="3"/>
  <c r="AB14" i="3"/>
  <c r="AA14" i="3"/>
  <c r="V14" i="3"/>
  <c r="U14" i="3"/>
  <c r="R14" i="3"/>
  <c r="Q14" i="3"/>
  <c r="AB13" i="3"/>
  <c r="AA13" i="3"/>
  <c r="V13" i="3"/>
  <c r="U13" i="3"/>
  <c r="R13" i="3"/>
  <c r="Q13" i="3"/>
  <c r="AB12" i="3"/>
  <c r="AA12" i="3"/>
  <c r="V12" i="3"/>
  <c r="U12" i="3"/>
  <c r="R12" i="3"/>
  <c r="AD12" i="3" s="1"/>
  <c r="Q12" i="3"/>
  <c r="AB11" i="3"/>
  <c r="AA11" i="3"/>
  <c r="V11" i="3"/>
  <c r="U11" i="3"/>
  <c r="R11" i="3"/>
  <c r="Q11" i="3"/>
  <c r="AB10" i="3"/>
  <c r="AA10" i="3"/>
  <c r="V10" i="3"/>
  <c r="U10" i="3"/>
  <c r="R10" i="3"/>
  <c r="Q10" i="3"/>
  <c r="AB9" i="3"/>
  <c r="AA9" i="3"/>
  <c r="V9" i="3"/>
  <c r="U9" i="3"/>
  <c r="R9" i="3"/>
  <c r="AD9" i="3" s="1"/>
  <c r="Q9" i="3"/>
  <c r="AB8" i="3"/>
  <c r="AA8" i="3"/>
  <c r="V8" i="3"/>
  <c r="U8" i="3"/>
  <c r="R8" i="3"/>
  <c r="Q8" i="3"/>
  <c r="AB7" i="3"/>
  <c r="AA7" i="3"/>
  <c r="V7" i="3"/>
  <c r="U7" i="3"/>
  <c r="R7" i="3"/>
  <c r="Q7" i="3"/>
  <c r="AB6" i="3"/>
  <c r="AA6" i="3"/>
  <c r="V6" i="3"/>
  <c r="U6" i="3"/>
  <c r="R6" i="3"/>
  <c r="Q6" i="3"/>
  <c r="F57" i="1"/>
  <c r="G52" i="1" s="1"/>
  <c r="G50" i="1"/>
  <c r="G51" i="1"/>
  <c r="H81" i="1"/>
  <c r="I72" i="1" s="1"/>
  <c r="F81" i="1"/>
  <c r="G72" i="1" s="1"/>
  <c r="E81" i="1"/>
  <c r="E82" i="1" s="1"/>
  <c r="D81" i="1"/>
  <c r="D82" i="1" s="1"/>
  <c r="C81" i="1"/>
  <c r="C82" i="1" s="1"/>
  <c r="H69" i="1"/>
  <c r="I60" i="1" s="1"/>
  <c r="F69" i="1"/>
  <c r="G67" i="1" s="1"/>
  <c r="E69" i="1"/>
  <c r="E70" i="1" s="1"/>
  <c r="D69" i="1"/>
  <c r="D70" i="1" s="1"/>
  <c r="C69" i="1"/>
  <c r="C70" i="1" s="1"/>
  <c r="H57" i="1"/>
  <c r="I48" i="1" s="1"/>
  <c r="C57" i="1"/>
  <c r="C58" i="1" s="1"/>
  <c r="E57" i="1"/>
  <c r="E58" i="1" s="1"/>
  <c r="D57" i="1"/>
  <c r="D58" i="1" s="1"/>
  <c r="AG38" i="1"/>
  <c r="AH33" i="1" s="1"/>
  <c r="AE38" i="1"/>
  <c r="AF33" i="1" s="1"/>
  <c r="AG27" i="1"/>
  <c r="AH18" i="1" s="1"/>
  <c r="AE27" i="1"/>
  <c r="AF18" i="1" s="1"/>
  <c r="AG16" i="1"/>
  <c r="AH11" i="1" s="1"/>
  <c r="AE16" i="1"/>
  <c r="AF11" i="1" s="1"/>
  <c r="AB37" i="1"/>
  <c r="AA37" i="1"/>
  <c r="V37" i="1"/>
  <c r="U37" i="1"/>
  <c r="R37" i="1"/>
  <c r="Q37" i="1"/>
  <c r="AB36" i="1"/>
  <c r="AA36" i="1"/>
  <c r="V36" i="1"/>
  <c r="U36" i="1"/>
  <c r="R36" i="1"/>
  <c r="AD36" i="1" s="1"/>
  <c r="Q36" i="1"/>
  <c r="AC36" i="1" s="1"/>
  <c r="AB35" i="1"/>
  <c r="AA35" i="1"/>
  <c r="V35" i="1"/>
  <c r="U35" i="1"/>
  <c r="R35" i="1"/>
  <c r="Q35" i="1"/>
  <c r="AB34" i="1"/>
  <c r="AA34" i="1"/>
  <c r="V34" i="1"/>
  <c r="U34" i="1"/>
  <c r="R34" i="1"/>
  <c r="Q34" i="1"/>
  <c r="AB33" i="1"/>
  <c r="AA33" i="1"/>
  <c r="V33" i="1"/>
  <c r="U33" i="1"/>
  <c r="R33" i="1"/>
  <c r="AD33" i="1" s="1"/>
  <c r="Q33" i="1"/>
  <c r="AB32" i="1"/>
  <c r="AA32" i="1"/>
  <c r="V32" i="1"/>
  <c r="U32" i="1"/>
  <c r="R32" i="1"/>
  <c r="Q32" i="1"/>
  <c r="AB31" i="1"/>
  <c r="AA31" i="1"/>
  <c r="V31" i="1"/>
  <c r="U31" i="1"/>
  <c r="R31" i="1"/>
  <c r="Q31" i="1"/>
  <c r="AB30" i="1"/>
  <c r="AA30" i="1"/>
  <c r="V30" i="1"/>
  <c r="U30" i="1"/>
  <c r="R30" i="1"/>
  <c r="Q30" i="1"/>
  <c r="AB29" i="1"/>
  <c r="AA29" i="1"/>
  <c r="V29" i="1"/>
  <c r="U29" i="1"/>
  <c r="R29" i="1"/>
  <c r="Q29" i="1"/>
  <c r="AB28" i="1"/>
  <c r="AA28" i="1"/>
  <c r="V28" i="1"/>
  <c r="U28" i="1"/>
  <c r="R28" i="1"/>
  <c r="AD28" i="1" s="1"/>
  <c r="Q28" i="1"/>
  <c r="AC28" i="1" s="1"/>
  <c r="AB26" i="1"/>
  <c r="AA26" i="1"/>
  <c r="V26" i="1"/>
  <c r="U26" i="1"/>
  <c r="R26" i="1"/>
  <c r="Q26" i="1"/>
  <c r="AB25" i="1"/>
  <c r="AA25" i="1"/>
  <c r="V25" i="1"/>
  <c r="U25" i="1"/>
  <c r="R25" i="1"/>
  <c r="Q25" i="1"/>
  <c r="AB24" i="1"/>
  <c r="AA24" i="1"/>
  <c r="V24" i="1"/>
  <c r="U24" i="1"/>
  <c r="R24" i="1"/>
  <c r="Q24" i="1"/>
  <c r="AC24" i="1" s="1"/>
  <c r="AB23" i="1"/>
  <c r="AA23" i="1"/>
  <c r="V23" i="1"/>
  <c r="U23" i="1"/>
  <c r="R23" i="1"/>
  <c r="AD23" i="1" s="1"/>
  <c r="Q23" i="1"/>
  <c r="AC23" i="1" s="1"/>
  <c r="AB22" i="1"/>
  <c r="AA22" i="1"/>
  <c r="V22" i="1"/>
  <c r="U22" i="1"/>
  <c r="R22" i="1"/>
  <c r="Q22" i="1"/>
  <c r="AB21" i="1"/>
  <c r="AA21" i="1"/>
  <c r="V21" i="1"/>
  <c r="U21" i="1"/>
  <c r="R21" i="1"/>
  <c r="Q21" i="1"/>
  <c r="AB20" i="1"/>
  <c r="AA20" i="1"/>
  <c r="V20" i="1"/>
  <c r="U20" i="1"/>
  <c r="R20" i="1"/>
  <c r="AD20" i="1" s="1"/>
  <c r="Q20" i="1"/>
  <c r="AC20" i="1" s="1"/>
  <c r="AB19" i="1"/>
  <c r="AA19" i="1"/>
  <c r="V19" i="1"/>
  <c r="U19" i="1"/>
  <c r="R19" i="1"/>
  <c r="AD19" i="1" s="1"/>
  <c r="Q19" i="1"/>
  <c r="AC19" i="1" s="1"/>
  <c r="AB18" i="1"/>
  <c r="AA18" i="1"/>
  <c r="V18" i="1"/>
  <c r="U18" i="1"/>
  <c r="R18" i="1"/>
  <c r="Q18" i="1"/>
  <c r="AB17" i="1"/>
  <c r="AA17" i="1"/>
  <c r="V17" i="1"/>
  <c r="U17" i="1"/>
  <c r="R17" i="1"/>
  <c r="Q17" i="1"/>
  <c r="AB7" i="1"/>
  <c r="AB8" i="1"/>
  <c r="AB9" i="1"/>
  <c r="AB10" i="1"/>
  <c r="AB11" i="1"/>
  <c r="AB12" i="1"/>
  <c r="AB13" i="1"/>
  <c r="AB14" i="1"/>
  <c r="AB15" i="1"/>
  <c r="AB6" i="1"/>
  <c r="AA7" i="1"/>
  <c r="AA8" i="1"/>
  <c r="AA9" i="1"/>
  <c r="AA10" i="1"/>
  <c r="AA11" i="1"/>
  <c r="AA12" i="1"/>
  <c r="AA13" i="1"/>
  <c r="AA14" i="1"/>
  <c r="AA15" i="1"/>
  <c r="AA6" i="1"/>
  <c r="V7" i="1"/>
  <c r="V8" i="1"/>
  <c r="V9" i="1"/>
  <c r="V10" i="1"/>
  <c r="V11" i="1"/>
  <c r="V12" i="1"/>
  <c r="V13" i="1"/>
  <c r="V14" i="1"/>
  <c r="V15" i="1"/>
  <c r="U7" i="1"/>
  <c r="U8" i="1"/>
  <c r="U9" i="1"/>
  <c r="U10" i="1"/>
  <c r="U11" i="1"/>
  <c r="U12" i="1"/>
  <c r="U13" i="1"/>
  <c r="U14" i="1"/>
  <c r="U15" i="1"/>
  <c r="V6" i="1"/>
  <c r="R7" i="1"/>
  <c r="R8" i="1"/>
  <c r="R9" i="1"/>
  <c r="R10" i="1"/>
  <c r="R11" i="1"/>
  <c r="R12" i="1"/>
  <c r="R13" i="1"/>
  <c r="R14" i="1"/>
  <c r="R15" i="1"/>
  <c r="R6" i="1"/>
  <c r="U6" i="1"/>
  <c r="Q7" i="1"/>
  <c r="Q8" i="1"/>
  <c r="Q9" i="1"/>
  <c r="Q10" i="1"/>
  <c r="Q11" i="1"/>
  <c r="Q12" i="1"/>
  <c r="Q13" i="1"/>
  <c r="Q14" i="1"/>
  <c r="Q15" i="1"/>
  <c r="Q6" i="1"/>
  <c r="I18" i="8" l="1"/>
  <c r="I24" i="8"/>
  <c r="I25" i="8"/>
  <c r="I26" i="8"/>
  <c r="I27" i="8"/>
  <c r="G18" i="8"/>
  <c r="G24" i="8"/>
  <c r="G25" i="8"/>
  <c r="G26" i="8"/>
  <c r="G27" i="8"/>
  <c r="G7" i="8"/>
  <c r="I7" i="8"/>
  <c r="G8" i="8"/>
  <c r="I8" i="8"/>
  <c r="G9" i="8"/>
  <c r="I9" i="8"/>
  <c r="G10" i="8"/>
  <c r="G19" i="8"/>
  <c r="I10" i="8"/>
  <c r="I19" i="8"/>
  <c r="I28" i="8" s="1"/>
  <c r="G11" i="8"/>
  <c r="G20" i="8"/>
  <c r="I11" i="8"/>
  <c r="I20" i="8"/>
  <c r="G12" i="8"/>
  <c r="G21" i="8"/>
  <c r="I12" i="8"/>
  <c r="I21" i="8"/>
  <c r="G13" i="8"/>
  <c r="G22" i="8"/>
  <c r="G31" i="8"/>
  <c r="G40" i="8" s="1"/>
  <c r="I13" i="8"/>
  <c r="I22" i="8"/>
  <c r="I31" i="8"/>
  <c r="I40" i="8" s="1"/>
  <c r="I79" i="7"/>
  <c r="I80" i="7"/>
  <c r="I59" i="7"/>
  <c r="I60" i="7"/>
  <c r="I65" i="7"/>
  <c r="I66" i="7"/>
  <c r="I67" i="7"/>
  <c r="I68" i="7"/>
  <c r="G59" i="7"/>
  <c r="G65" i="7"/>
  <c r="G66" i="7"/>
  <c r="G67" i="7"/>
  <c r="G68" i="7"/>
  <c r="AH26" i="7"/>
  <c r="AH19" i="7"/>
  <c r="AH15" i="7"/>
  <c r="AH30" i="7"/>
  <c r="AH28" i="7"/>
  <c r="AF30" i="7"/>
  <c r="AF26" i="7"/>
  <c r="AF23" i="7"/>
  <c r="AF20" i="7"/>
  <c r="AF17" i="7"/>
  <c r="AF24" i="7"/>
  <c r="AF21" i="7"/>
  <c r="AF18" i="7"/>
  <c r="AF25" i="7"/>
  <c r="AH23" i="7"/>
  <c r="AH20" i="7"/>
  <c r="AH21" i="7"/>
  <c r="AH18" i="7"/>
  <c r="AH25" i="7"/>
  <c r="AH13" i="7"/>
  <c r="AH8" i="7"/>
  <c r="AH6" i="7"/>
  <c r="AH10" i="7"/>
  <c r="AF8" i="7"/>
  <c r="AF15" i="7"/>
  <c r="AF13" i="7"/>
  <c r="AF10" i="7"/>
  <c r="AF6" i="7"/>
  <c r="AD32" i="7"/>
  <c r="AC30" i="7"/>
  <c r="AC22" i="7"/>
  <c r="AD21" i="7"/>
  <c r="AC19" i="7"/>
  <c r="AD14" i="7"/>
  <c r="AC12" i="7"/>
  <c r="AC10" i="7"/>
  <c r="AC33" i="7"/>
  <c r="AC23" i="7"/>
  <c r="AD36" i="7"/>
  <c r="AD25" i="7"/>
  <c r="AD8" i="7"/>
  <c r="AD15" i="7"/>
  <c r="AD22" i="7"/>
  <c r="AD37" i="7"/>
  <c r="AD19" i="7"/>
  <c r="AC8" i="7"/>
  <c r="AC28" i="7"/>
  <c r="AC38" i="7" s="1"/>
  <c r="AC18" i="7"/>
  <c r="AC27" i="7" s="1"/>
  <c r="AC13" i="7"/>
  <c r="AC16" i="7" s="1"/>
  <c r="AD23" i="7"/>
  <c r="AD13" i="7"/>
  <c r="AD16" i="7" s="1"/>
  <c r="AD18" i="7"/>
  <c r="AD28" i="7"/>
  <c r="AD33" i="7"/>
  <c r="AH35" i="7"/>
  <c r="AF28" i="7"/>
  <c r="AF33" i="7"/>
  <c r="G47" i="7"/>
  <c r="AH33" i="7"/>
  <c r="G48" i="7"/>
  <c r="I48" i="7"/>
  <c r="AF11" i="7"/>
  <c r="AF31" i="7"/>
  <c r="G49" i="7"/>
  <c r="AH11" i="7"/>
  <c r="AH31" i="7"/>
  <c r="I49" i="7"/>
  <c r="AF36" i="7"/>
  <c r="G50" i="7"/>
  <c r="AH36" i="7"/>
  <c r="I50" i="7"/>
  <c r="AF35" i="7"/>
  <c r="AF9" i="7"/>
  <c r="AF19" i="7"/>
  <c r="AF29" i="7"/>
  <c r="G51" i="7"/>
  <c r="G60" i="7"/>
  <c r="AH9" i="7"/>
  <c r="AH29" i="7"/>
  <c r="I51" i="7"/>
  <c r="AF14" i="7"/>
  <c r="AF34" i="7"/>
  <c r="G52" i="7"/>
  <c r="G61" i="7"/>
  <c r="AH14" i="7"/>
  <c r="AH24" i="7"/>
  <c r="AH34" i="7"/>
  <c r="I52" i="7"/>
  <c r="I61" i="7"/>
  <c r="AF7" i="7"/>
  <c r="G53" i="7"/>
  <c r="G62" i="7"/>
  <c r="AH7" i="7"/>
  <c r="AH17" i="7"/>
  <c r="I53" i="7"/>
  <c r="I62" i="7"/>
  <c r="AF32" i="7"/>
  <c r="G54" i="7"/>
  <c r="G63" i="7"/>
  <c r="G72" i="7"/>
  <c r="G81" i="7" s="1"/>
  <c r="AH32" i="7"/>
  <c r="I54" i="7"/>
  <c r="I63" i="7"/>
  <c r="I69" i="7" s="1"/>
  <c r="I72" i="7"/>
  <c r="I81" i="7" s="1"/>
  <c r="G15" i="6"/>
  <c r="G71" i="5"/>
  <c r="G81" i="5" s="1"/>
  <c r="G72" i="5"/>
  <c r="I6" i="6"/>
  <c r="I15" i="6"/>
  <c r="G30" i="6"/>
  <c r="I30" i="6"/>
  <c r="G31" i="6"/>
  <c r="G33" i="6"/>
  <c r="I18" i="6"/>
  <c r="G24" i="6"/>
  <c r="I24" i="6"/>
  <c r="G25" i="6"/>
  <c r="I25" i="6"/>
  <c r="G26" i="6"/>
  <c r="I26" i="6"/>
  <c r="G27" i="6"/>
  <c r="I27" i="6"/>
  <c r="G6" i="6"/>
  <c r="G7" i="6"/>
  <c r="I7" i="6"/>
  <c r="G8" i="6"/>
  <c r="I8" i="6"/>
  <c r="G9" i="6"/>
  <c r="G18" i="6"/>
  <c r="I9" i="6"/>
  <c r="G10" i="6"/>
  <c r="G19" i="6"/>
  <c r="I10" i="6"/>
  <c r="I19" i="6"/>
  <c r="G11" i="6"/>
  <c r="G20" i="6"/>
  <c r="I11" i="6"/>
  <c r="I20" i="6"/>
  <c r="G12" i="6"/>
  <c r="G21" i="6"/>
  <c r="I12" i="6"/>
  <c r="I21" i="6"/>
  <c r="G13" i="6"/>
  <c r="G22" i="6"/>
  <c r="I13" i="6"/>
  <c r="I22" i="6"/>
  <c r="I31" i="6"/>
  <c r="I59" i="5"/>
  <c r="I60" i="5"/>
  <c r="I65" i="5"/>
  <c r="I66" i="5"/>
  <c r="I67" i="5"/>
  <c r="I68" i="5"/>
  <c r="G63" i="5"/>
  <c r="G65" i="5"/>
  <c r="G66" i="5"/>
  <c r="G67" i="5"/>
  <c r="G68" i="5"/>
  <c r="G56" i="5"/>
  <c r="AH35" i="5"/>
  <c r="AH28" i="5"/>
  <c r="AH30" i="5"/>
  <c r="AH19" i="5"/>
  <c r="AH26" i="5"/>
  <c r="AH23" i="5"/>
  <c r="AH24" i="5"/>
  <c r="AH21" i="5"/>
  <c r="AH20" i="5"/>
  <c r="AH18" i="5"/>
  <c r="AH25" i="5"/>
  <c r="AH15" i="5"/>
  <c r="AH9" i="5"/>
  <c r="AH13" i="5"/>
  <c r="AH6" i="5"/>
  <c r="AH8" i="5"/>
  <c r="AF30" i="5"/>
  <c r="AF17" i="5"/>
  <c r="AF26" i="5"/>
  <c r="AF20" i="5"/>
  <c r="AF24" i="5"/>
  <c r="AF21" i="5"/>
  <c r="AF18" i="5"/>
  <c r="AF25" i="5"/>
  <c r="AF19" i="5"/>
  <c r="AF22" i="5"/>
  <c r="AF15" i="5"/>
  <c r="AC32" i="5"/>
  <c r="AC33" i="5"/>
  <c r="AC30" i="5"/>
  <c r="AD22" i="5"/>
  <c r="AD19" i="5"/>
  <c r="AD32" i="5"/>
  <c r="AC36" i="5"/>
  <c r="AC37" i="5"/>
  <c r="AD37" i="5"/>
  <c r="AC34" i="5"/>
  <c r="AD24" i="5"/>
  <c r="AC25" i="5"/>
  <c r="AC19" i="5"/>
  <c r="AC22" i="5"/>
  <c r="AC26" i="5"/>
  <c r="AC21" i="5"/>
  <c r="AC20" i="5"/>
  <c r="AD11" i="5"/>
  <c r="AC15" i="5"/>
  <c r="AD15" i="5"/>
  <c r="AC12" i="5"/>
  <c r="AD12" i="5"/>
  <c r="AC7" i="5"/>
  <c r="AC9" i="5"/>
  <c r="AD9" i="5"/>
  <c r="AC28" i="5"/>
  <c r="AC23" i="5"/>
  <c r="AC18" i="5"/>
  <c r="AC8" i="5"/>
  <c r="AC16" i="5" s="1"/>
  <c r="AC13" i="5"/>
  <c r="AD25" i="5"/>
  <c r="AD36" i="5"/>
  <c r="AD29" i="5"/>
  <c r="AD30" i="5"/>
  <c r="AD6" i="5"/>
  <c r="AD20" i="5"/>
  <c r="AD26" i="5"/>
  <c r="AD17" i="5"/>
  <c r="AD34" i="5"/>
  <c r="AD23" i="5"/>
  <c r="AD33" i="5"/>
  <c r="AD8" i="5"/>
  <c r="AD13" i="5"/>
  <c r="AD38" i="5"/>
  <c r="AF28" i="5"/>
  <c r="AF33" i="5"/>
  <c r="G47" i="5"/>
  <c r="AH33" i="5"/>
  <c r="AF6" i="5"/>
  <c r="G48" i="5"/>
  <c r="I48" i="5"/>
  <c r="AF11" i="5"/>
  <c r="AF31" i="5"/>
  <c r="G49" i="5"/>
  <c r="AH11" i="5"/>
  <c r="AH31" i="5"/>
  <c r="I49" i="5"/>
  <c r="AF35" i="5"/>
  <c r="AF36" i="5"/>
  <c r="G50" i="5"/>
  <c r="G59" i="5"/>
  <c r="AH36" i="5"/>
  <c r="I50" i="5"/>
  <c r="AF29" i="5"/>
  <c r="G51" i="5"/>
  <c r="G60" i="5"/>
  <c r="AH29" i="5"/>
  <c r="AH38" i="5" s="1"/>
  <c r="I51" i="5"/>
  <c r="AF14" i="5"/>
  <c r="AF34" i="5"/>
  <c r="G52" i="5"/>
  <c r="G61" i="5"/>
  <c r="AF9" i="5"/>
  <c r="AH14" i="5"/>
  <c r="AH34" i="5"/>
  <c r="I52" i="5"/>
  <c r="I61" i="5"/>
  <c r="I69" i="5" s="1"/>
  <c r="AF13" i="5"/>
  <c r="AF7" i="5"/>
  <c r="G53" i="5"/>
  <c r="G62" i="5"/>
  <c r="AH7" i="5"/>
  <c r="AH17" i="5"/>
  <c r="AH27" i="5" s="1"/>
  <c r="I53" i="5"/>
  <c r="I62" i="5"/>
  <c r="G54" i="5"/>
  <c r="AH32" i="5"/>
  <c r="I54" i="5"/>
  <c r="I63" i="5"/>
  <c r="I72" i="5"/>
  <c r="I81" i="5" s="1"/>
  <c r="AF37" i="5"/>
  <c r="I48" i="3"/>
  <c r="I47" i="3"/>
  <c r="I56" i="3"/>
  <c r="I59" i="3"/>
  <c r="I65" i="3"/>
  <c r="I66" i="3"/>
  <c r="I67" i="3"/>
  <c r="I68" i="3"/>
  <c r="G65" i="3"/>
  <c r="G59" i="3"/>
  <c r="G66" i="3"/>
  <c r="G67" i="3"/>
  <c r="G68" i="3"/>
  <c r="G56" i="3"/>
  <c r="G55" i="3"/>
  <c r="G54" i="3"/>
  <c r="G53" i="3"/>
  <c r="G52" i="3"/>
  <c r="G51" i="3"/>
  <c r="G50" i="3"/>
  <c r="G49" i="3"/>
  <c r="G48" i="3"/>
  <c r="AH18" i="3"/>
  <c r="AF19" i="3"/>
  <c r="AF15" i="3"/>
  <c r="AF8" i="3"/>
  <c r="AH30" i="3"/>
  <c r="AH35" i="3"/>
  <c r="AF30" i="3"/>
  <c r="AH20" i="3"/>
  <c r="AH23" i="3"/>
  <c r="AH26" i="3"/>
  <c r="AH21" i="3"/>
  <c r="AF23" i="3"/>
  <c r="AF26" i="3"/>
  <c r="AF24" i="3"/>
  <c r="AF17" i="3"/>
  <c r="AF21" i="3"/>
  <c r="AF25" i="3"/>
  <c r="AF20" i="3"/>
  <c r="AF18" i="3"/>
  <c r="AH15" i="3"/>
  <c r="AH8" i="3"/>
  <c r="AH13" i="3"/>
  <c r="AH10" i="3"/>
  <c r="AF10" i="3"/>
  <c r="AC36" i="3"/>
  <c r="AC21" i="3"/>
  <c r="AD21" i="3"/>
  <c r="AC19" i="3"/>
  <c r="AC24" i="3"/>
  <c r="AC14" i="3"/>
  <c r="AC10" i="3"/>
  <c r="AC6" i="3"/>
  <c r="AC34" i="3"/>
  <c r="AC29" i="3"/>
  <c r="AC30" i="3"/>
  <c r="AC25" i="3"/>
  <c r="AD32" i="3"/>
  <c r="AD22" i="3"/>
  <c r="AD37" i="3"/>
  <c r="AD19" i="3"/>
  <c r="AD24" i="3"/>
  <c r="AD36" i="3"/>
  <c r="AD29" i="3"/>
  <c r="AD30" i="3"/>
  <c r="AD15" i="3"/>
  <c r="AD14" i="3"/>
  <c r="AD11" i="3"/>
  <c r="AD10" i="3"/>
  <c r="AD7" i="3"/>
  <c r="AD6" i="3"/>
  <c r="AD16" i="3" s="1"/>
  <c r="AC15" i="3"/>
  <c r="AC12" i="3"/>
  <c r="AC11" i="3"/>
  <c r="AC9" i="3"/>
  <c r="AC7" i="3"/>
  <c r="AC33" i="3"/>
  <c r="AC28" i="3"/>
  <c r="AC23" i="3"/>
  <c r="AC18" i="3"/>
  <c r="AC27" i="3" s="1"/>
  <c r="AC13" i="3"/>
  <c r="AC8" i="3"/>
  <c r="AD33" i="3"/>
  <c r="AD23" i="3"/>
  <c r="AD8" i="3"/>
  <c r="AD13" i="3"/>
  <c r="AD18" i="3"/>
  <c r="AD28" i="3"/>
  <c r="AF28" i="3"/>
  <c r="AH28" i="3"/>
  <c r="AF33" i="3"/>
  <c r="AH33" i="3"/>
  <c r="AF6" i="3"/>
  <c r="AF11" i="3"/>
  <c r="AF31" i="3"/>
  <c r="AF35" i="3"/>
  <c r="AH11" i="3"/>
  <c r="AH31" i="3"/>
  <c r="I49" i="3"/>
  <c r="AF36" i="3"/>
  <c r="AH36" i="3"/>
  <c r="I50" i="3"/>
  <c r="AF9" i="3"/>
  <c r="AF29" i="3"/>
  <c r="G60" i="3"/>
  <c r="AH9" i="3"/>
  <c r="AH19" i="3"/>
  <c r="AH29" i="3"/>
  <c r="I51" i="3"/>
  <c r="I60" i="3"/>
  <c r="AF14" i="3"/>
  <c r="AF34" i="3"/>
  <c r="G61" i="3"/>
  <c r="AF13" i="3"/>
  <c r="AH14" i="3"/>
  <c r="AH24" i="3"/>
  <c r="AH34" i="3"/>
  <c r="I52" i="3"/>
  <c r="I61" i="3"/>
  <c r="G62" i="3"/>
  <c r="AH6" i="3"/>
  <c r="AH7" i="3"/>
  <c r="AH17" i="3"/>
  <c r="I53" i="3"/>
  <c r="I62" i="3"/>
  <c r="AF12" i="3"/>
  <c r="AF32" i="3"/>
  <c r="G63" i="3"/>
  <c r="G72" i="3"/>
  <c r="G81" i="3" s="1"/>
  <c r="AH32" i="3"/>
  <c r="I54" i="3"/>
  <c r="I63" i="3"/>
  <c r="I72" i="3"/>
  <c r="I81" i="3" s="1"/>
  <c r="I47" i="1"/>
  <c r="I56" i="1"/>
  <c r="I55" i="1"/>
  <c r="I54" i="1"/>
  <c r="G49" i="1"/>
  <c r="G48" i="1"/>
  <c r="I53" i="1"/>
  <c r="I52" i="1"/>
  <c r="I51" i="1"/>
  <c r="I50" i="1"/>
  <c r="I49" i="1"/>
  <c r="I59" i="1"/>
  <c r="I68" i="1"/>
  <c r="I67" i="1"/>
  <c r="AC37" i="1"/>
  <c r="I66" i="1"/>
  <c r="I65" i="1"/>
  <c r="I64" i="1"/>
  <c r="I63" i="1"/>
  <c r="I62" i="1"/>
  <c r="G47" i="1"/>
  <c r="I61" i="1"/>
  <c r="G56" i="1"/>
  <c r="G55" i="1"/>
  <c r="G54" i="1"/>
  <c r="G53" i="1"/>
  <c r="G64" i="1"/>
  <c r="G65" i="1"/>
  <c r="G62" i="1"/>
  <c r="G68" i="1"/>
  <c r="G60" i="1"/>
  <c r="G61" i="1"/>
  <c r="G66" i="1"/>
  <c r="G59" i="1"/>
  <c r="G63" i="1"/>
  <c r="I71" i="1"/>
  <c r="I80" i="1"/>
  <c r="I79" i="1"/>
  <c r="I78" i="1"/>
  <c r="I77" i="1"/>
  <c r="I76" i="1"/>
  <c r="I75" i="1"/>
  <c r="I74" i="1"/>
  <c r="I73" i="1"/>
  <c r="G78" i="1"/>
  <c r="G77" i="1"/>
  <c r="G80" i="1"/>
  <c r="G71" i="1"/>
  <c r="G79" i="1"/>
  <c r="G76" i="1"/>
  <c r="G74" i="1"/>
  <c r="G73" i="1"/>
  <c r="G75" i="1"/>
  <c r="AC33" i="1"/>
  <c r="AC31" i="1"/>
  <c r="AD31" i="1"/>
  <c r="AD22" i="1"/>
  <c r="AD10" i="1"/>
  <c r="AD13" i="1"/>
  <c r="AD9" i="1"/>
  <c r="AD12" i="1"/>
  <c r="AD11" i="1"/>
  <c r="AH15" i="1"/>
  <c r="AH14" i="1"/>
  <c r="AH13" i="1"/>
  <c r="AH10" i="1"/>
  <c r="AH9" i="1"/>
  <c r="AH12" i="1"/>
  <c r="AH8" i="1"/>
  <c r="AH6" i="1"/>
  <c r="AH7" i="1"/>
  <c r="AF15" i="1"/>
  <c r="AF14" i="1"/>
  <c r="AF13" i="1"/>
  <c r="AF12" i="1"/>
  <c r="AF8" i="1"/>
  <c r="AF6" i="1"/>
  <c r="AF10" i="1"/>
  <c r="AF9" i="1"/>
  <c r="AF7" i="1"/>
  <c r="AH37" i="1"/>
  <c r="AH36" i="1"/>
  <c r="AH35" i="1"/>
  <c r="AH34" i="1"/>
  <c r="AH28" i="1"/>
  <c r="AH31" i="1"/>
  <c r="AH32" i="1"/>
  <c r="AH30" i="1"/>
  <c r="AH29" i="1"/>
  <c r="AF37" i="1"/>
  <c r="AF36" i="1"/>
  <c r="AF35" i="1"/>
  <c r="AF28" i="1"/>
  <c r="AF34" i="1"/>
  <c r="AF32" i="1"/>
  <c r="AF31" i="1"/>
  <c r="AF30" i="1"/>
  <c r="AF29" i="1"/>
  <c r="AF38" i="1" s="1"/>
  <c r="AH26" i="1"/>
  <c r="AH25" i="1"/>
  <c r="AH24" i="1"/>
  <c r="AH23" i="1"/>
  <c r="AH22" i="1"/>
  <c r="AF26" i="1"/>
  <c r="AF25" i="1"/>
  <c r="AF24" i="1"/>
  <c r="AF23" i="1"/>
  <c r="AF22" i="1"/>
  <c r="AH17" i="1"/>
  <c r="AH21" i="1"/>
  <c r="AH19" i="1"/>
  <c r="AH20" i="1"/>
  <c r="AF21" i="1"/>
  <c r="AF17" i="1"/>
  <c r="AF20" i="1"/>
  <c r="AF19" i="1"/>
  <c r="AD26" i="1"/>
  <c r="AC26" i="1"/>
  <c r="AC6" i="1"/>
  <c r="AC14" i="1"/>
  <c r="AD37" i="1"/>
  <c r="AC15" i="1"/>
  <c r="AD8" i="1"/>
  <c r="AD7" i="1"/>
  <c r="AD15" i="1"/>
  <c r="AD14" i="1"/>
  <c r="AC11" i="1"/>
  <c r="AC25" i="1"/>
  <c r="AC9" i="1"/>
  <c r="AC7" i="1"/>
  <c r="AD6" i="1"/>
  <c r="AC13" i="1"/>
  <c r="AC18" i="1"/>
  <c r="AC10" i="1"/>
  <c r="AC22" i="1"/>
  <c r="AC8" i="1"/>
  <c r="AC12" i="1"/>
  <c r="AC17" i="1"/>
  <c r="AC30" i="1"/>
  <c r="AC34" i="1"/>
  <c r="AD17" i="1"/>
  <c r="AD21" i="1"/>
  <c r="AD30" i="1"/>
  <c r="AD34" i="1"/>
  <c r="AC35" i="1"/>
  <c r="AD35" i="1"/>
  <c r="AD32" i="1"/>
  <c r="AD24" i="1"/>
  <c r="AD25" i="1"/>
  <c r="AC29" i="1"/>
  <c r="AD29" i="1"/>
  <c r="AD18" i="1"/>
  <c r="AC32" i="1"/>
  <c r="AC21" i="1"/>
  <c r="I16" i="8" l="1"/>
  <c r="G28" i="8"/>
  <c r="G16" i="8"/>
  <c r="I57" i="7"/>
  <c r="G69" i="7"/>
  <c r="AF27" i="7"/>
  <c r="AH38" i="7"/>
  <c r="AH16" i="7"/>
  <c r="AF16" i="7"/>
  <c r="AD38" i="7"/>
  <c r="AD27" i="7"/>
  <c r="AF38" i="7"/>
  <c r="AH27" i="7"/>
  <c r="G57" i="7"/>
  <c r="G40" i="6"/>
  <c r="I28" i="6"/>
  <c r="I40" i="6"/>
  <c r="I16" i="6"/>
  <c r="G16" i="6"/>
  <c r="G28" i="6"/>
  <c r="I57" i="5"/>
  <c r="AH16" i="5"/>
  <c r="AF27" i="5"/>
  <c r="AC38" i="5"/>
  <c r="AC27" i="5"/>
  <c r="AD27" i="5"/>
  <c r="AD16" i="5"/>
  <c r="G57" i="5"/>
  <c r="AF38" i="5"/>
  <c r="AF16" i="5"/>
  <c r="G69" i="5"/>
  <c r="I57" i="3"/>
  <c r="I69" i="3"/>
  <c r="G69" i="3"/>
  <c r="AH16" i="3"/>
  <c r="AF27" i="3"/>
  <c r="AF16" i="3"/>
  <c r="AC38" i="3"/>
  <c r="AC16" i="3"/>
  <c r="AD27" i="3"/>
  <c r="AD38" i="3"/>
  <c r="G57" i="3"/>
  <c r="AH27" i="3"/>
  <c r="AH38" i="3"/>
  <c r="AF38" i="3"/>
  <c r="I69" i="1"/>
  <c r="I57" i="1"/>
  <c r="G57" i="1"/>
  <c r="G69" i="1"/>
  <c r="I81" i="1"/>
  <c r="G81" i="1"/>
  <c r="AC16" i="1"/>
  <c r="AC38" i="1"/>
  <c r="AD16" i="1"/>
  <c r="AH16" i="1"/>
  <c r="AF16" i="1"/>
  <c r="AH38" i="1"/>
  <c r="AH27" i="1"/>
  <c r="AF27" i="1"/>
  <c r="AD38" i="1"/>
  <c r="AC27" i="1"/>
  <c r="AD27" i="1"/>
</calcChain>
</file>

<file path=xl/sharedStrings.xml><?xml version="1.0" encoding="utf-8"?>
<sst xmlns="http://schemas.openxmlformats.org/spreadsheetml/2006/main" count="351" uniqueCount="37">
  <si>
    <t>Run</t>
  </si>
  <si>
    <t>(Edges)</t>
  </si>
  <si>
    <t>Automated Task</t>
  </si>
  <si>
    <t>Manual Task</t>
  </si>
  <si>
    <t>Decision</t>
  </si>
  <si>
    <t>Merge</t>
  </si>
  <si>
    <t>Fork</t>
  </si>
  <si>
    <t>Join</t>
  </si>
  <si>
    <t>found</t>
  </si>
  <si>
    <t>expected</t>
  </si>
  <si>
    <t>Solution</t>
  </si>
  <si>
    <t>Nodes (Part 1)</t>
  </si>
  <si>
    <t>Start-/End-Nodes (Part 2)</t>
  </si>
  <si>
    <t>Diverging Paths (Part 3)</t>
  </si>
  <si>
    <t>Parallel</t>
  </si>
  <si>
    <t>Mode</t>
  </si>
  <si>
    <t>JSON</t>
  </si>
  <si>
    <t>XML</t>
  </si>
  <si>
    <t>MCP</t>
  </si>
  <si>
    <t>Precision</t>
  </si>
  <si>
    <t>Recall</t>
  </si>
  <si>
    <t>Average Precision</t>
  </si>
  <si>
    <t>Average Recall</t>
  </si>
  <si>
    <t>Retrieval Metrics</t>
  </si>
  <si>
    <t>Cost ($)</t>
  </si>
  <si>
    <t>Time (s)</t>
  </si>
  <si>
    <t>Mean</t>
  </si>
  <si>
    <t>Std</t>
  </si>
  <si>
    <t>Creative Metrics</t>
  </si>
  <si>
    <t>Total Errors</t>
  </si>
  <si>
    <t>Syntax</t>
  </si>
  <si>
    <t>Semantic</t>
  </si>
  <si>
    <t>Pragmatic</t>
  </si>
  <si>
    <t>Basis:</t>
  </si>
  <si>
    <t>Normalized</t>
  </si>
  <si>
    <t>Average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</si>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</sst>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164" fontId="0" fillId="0" borderId="0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0" fillId="0" borderId="0" xfId="1" applyNumberFormat="1" applyFont="1"/>
    <xf numFmtId="164" fontId="0" fillId="0" borderId="1" xfId="1" applyNumberFormat="1" applyFont="1" applyBorder="1" applyAlignment="1">
      <alignment horizontal="center"/>
    </xf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1" xfId="1" applyNumberFormat="1" applyFont="1" applyBorder="1"/>
    <xf numFmtId="164" fontId="0" fillId="0" borderId="3" xfId="1" applyNumberFormat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64" fontId="0" fillId="0" borderId="4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4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0" fontId="0" fillId="0" borderId="8" xfId="0" applyBorder="1" applyAlignment="1">
      <alignment vertical="center"/>
    </xf>
    <xf numFmtId="164" fontId="0" fillId="2" borderId="9" xfId="1" applyNumberFormat="1" applyFont="1" applyFill="1" applyBorder="1"/>
    <xf numFmtId="164" fontId="0" fillId="2" borderId="8" xfId="1" applyNumberFormat="1" applyFont="1" applyFill="1" applyBorder="1"/>
    <xf numFmtId="0" fontId="0" fillId="0" borderId="0" xfId="0" applyAlignment="1"/>
    <xf numFmtId="0" fontId="0" fillId="0" borderId="11" xfId="0" applyBorder="1"/>
    <xf numFmtId="164" fontId="0" fillId="0" borderId="0" xfId="0" applyNumberFormat="1"/>
    <xf numFmtId="164" fontId="0" fillId="2" borderId="11" xfId="0" applyNumberFormat="1" applyFill="1" applyBorder="1"/>
    <xf numFmtId="1" fontId="0" fillId="2" borderId="1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8" xfId="0" applyNumberFormat="1" applyBorder="1"/>
    <xf numFmtId="165" fontId="0" fillId="0" borderId="0" xfId="0" applyNumberFormat="1"/>
    <xf numFmtId="164" fontId="2" fillId="0" borderId="1" xfId="0" applyNumberFormat="1" applyFont="1" applyBorder="1"/>
    <xf numFmtId="1" fontId="0" fillId="0" borderId="1" xfId="0" applyNumberFormat="1" applyBorder="1" applyAlignment="1">
      <alignment horizontal="center" vertical="center"/>
    </xf>
    <xf numFmtId="1" fontId="0" fillId="0" borderId="8" xfId="0" applyNumberFormat="1" applyBorder="1"/>
    <xf numFmtId="1" fontId="0" fillId="0" borderId="0" xfId="0" applyNumberFormat="1"/>
    <xf numFmtId="1" fontId="2" fillId="0" borderId="1" xfId="0" applyNumberFormat="1" applyFont="1" applyBorder="1"/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/>
    <xf numFmtId="0" fontId="0" fillId="0" borderId="9" xfId="0" applyBorder="1" applyAlignment="1">
      <alignment horizontal="right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/>
    <xf numFmtId="165" fontId="0" fillId="0" borderId="3" xfId="0" applyNumberFormat="1" applyBorder="1"/>
    <xf numFmtId="164" fontId="2" fillId="0" borderId="0" xfId="0" applyNumberFormat="1" applyFont="1" applyBorder="1"/>
    <xf numFmtId="165" fontId="0" fillId="0" borderId="4" xfId="0" applyNumberFormat="1" applyBorder="1"/>
    <xf numFmtId="164" fontId="0" fillId="2" borderId="10" xfId="0" applyNumberFormat="1" applyFill="1" applyBorder="1"/>
    <xf numFmtId="1" fontId="0" fillId="0" borderId="4" xfId="0" applyNumberFormat="1" applyBorder="1" applyAlignment="1">
      <alignment horizontal="center" vertical="center"/>
    </xf>
    <xf numFmtId="1" fontId="0" fillId="0" borderId="9" xfId="0" applyNumberFormat="1" applyBorder="1"/>
    <xf numFmtId="1" fontId="0" fillId="0" borderId="3" xfId="0" applyNumberFormat="1" applyBorder="1"/>
    <xf numFmtId="1" fontId="2" fillId="0" borderId="0" xfId="0" applyNumberFormat="1" applyFont="1" applyBorder="1"/>
    <xf numFmtId="1" fontId="0" fillId="0" borderId="4" xfId="0" applyNumberFormat="1" applyBorder="1"/>
    <xf numFmtId="1" fontId="0" fillId="2" borderId="10" xfId="0" applyNumberFormat="1" applyFill="1" applyBorder="1"/>
    <xf numFmtId="0" fontId="0" fillId="0" borderId="0" xfId="0" applyFill="1" applyBorder="1"/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2" borderId="5" xfId="0" applyNumberFormat="1" applyFill="1" applyBorder="1"/>
    <xf numFmtId="164" fontId="0" fillId="2" borderId="2" xfId="0" applyNumberFormat="1" applyFill="1" applyBorder="1"/>
    <xf numFmtId="1" fontId="0" fillId="2" borderId="5" xfId="0" applyNumberFormat="1" applyFill="1" applyBorder="1"/>
    <xf numFmtId="1" fontId="0" fillId="2" borderId="2" xfId="0" applyNumberFormat="1" applyFill="1" applyBorder="1"/>
    <xf numFmtId="0" fontId="0" fillId="0" borderId="9" xfId="0" applyNumberFormat="1" applyBorder="1"/>
    <xf numFmtId="0" fontId="0" fillId="0" borderId="8" xfId="0" applyNumberFormat="1" applyBorder="1"/>
    <xf numFmtId="0" fontId="0" fillId="0" borderId="3" xfId="0" applyNumberFormat="1" applyBorder="1"/>
    <xf numFmtId="0" fontId="0" fillId="0" borderId="0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0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2"/>
  <sheetViews>
    <sheetView workbookViewId="0">
      <selection activeCell="AE4" sqref="AE4"/>
    </sheetView>
  </sheetViews>
  <sheetFormatPr defaultRowHeight="15" x14ac:dyDescent="0.25"/>
  <cols>
    <col min="3" max="3" width="9.140625" style="10"/>
    <col min="17" max="18" width="9.140625" style="20"/>
    <col min="19" max="19" width="9.140625" style="10"/>
    <col min="21" max="22" width="9.140625" style="20"/>
    <col min="23" max="23" width="9.140625" style="10"/>
    <col min="27" max="28" width="9.140625" style="20"/>
    <col min="29" max="29" width="9.140625" style="19"/>
    <col min="30" max="30" width="9.140625" style="20"/>
    <col min="31" max="31" width="9.140625" style="45"/>
    <col min="32" max="32" width="9.140625" style="40" customWidth="1"/>
    <col min="33" max="34" width="9.140625" style="49"/>
  </cols>
  <sheetData>
    <row r="1" spans="1:34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15</v>
      </c>
      <c r="B2" s="3" t="s">
        <v>0</v>
      </c>
      <c r="C2" s="14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5"/>
      <c r="S2" s="13" t="s">
        <v>12</v>
      </c>
      <c r="T2" s="5"/>
      <c r="U2" s="5"/>
      <c r="V2" s="16"/>
      <c r="W2" s="14" t="s">
        <v>13</v>
      </c>
      <c r="X2" s="4"/>
      <c r="Y2" s="4"/>
      <c r="Z2" s="4"/>
      <c r="AA2" s="4"/>
      <c r="AB2" s="4"/>
      <c r="AC2" s="25" t="s">
        <v>21</v>
      </c>
      <c r="AD2" s="26" t="s">
        <v>22</v>
      </c>
      <c r="AE2" s="52" t="s">
        <v>24</v>
      </c>
      <c r="AF2" s="3"/>
      <c r="AG2" s="52" t="s">
        <v>25</v>
      </c>
      <c r="AH2" s="3"/>
    </row>
    <row r="3" spans="1:34" x14ac:dyDescent="0.25">
      <c r="A3" s="2"/>
      <c r="B3" s="3"/>
      <c r="C3" s="14" t="s">
        <v>2</v>
      </c>
      <c r="D3" s="4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4" t="s">
        <v>1</v>
      </c>
      <c r="P3" s="4"/>
      <c r="Q3" s="17" t="s">
        <v>19</v>
      </c>
      <c r="R3" s="17" t="s">
        <v>20</v>
      </c>
      <c r="S3" s="13"/>
      <c r="T3" s="5"/>
      <c r="U3" s="5"/>
      <c r="V3" s="16"/>
      <c r="W3" s="14" t="s">
        <v>4</v>
      </c>
      <c r="X3" s="4"/>
      <c r="Y3" s="4" t="s">
        <v>14</v>
      </c>
      <c r="Z3" s="4"/>
      <c r="AA3" s="17" t="s">
        <v>19</v>
      </c>
      <c r="AB3" s="17" t="s">
        <v>20</v>
      </c>
      <c r="AC3" s="25"/>
      <c r="AD3" s="26"/>
      <c r="AE3" s="52"/>
      <c r="AF3" s="3"/>
      <c r="AG3" s="52"/>
      <c r="AH3" s="3"/>
    </row>
    <row r="4" spans="1:34" x14ac:dyDescent="0.25">
      <c r="A4" s="6"/>
      <c r="B4" s="6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  <c r="K4" s="7" t="s">
        <v>8</v>
      </c>
      <c r="L4" s="7" t="s">
        <v>9</v>
      </c>
      <c r="M4" s="7" t="s">
        <v>8</v>
      </c>
      <c r="N4" s="7" t="s">
        <v>9</v>
      </c>
      <c r="O4" s="7" t="s">
        <v>8</v>
      </c>
      <c r="P4" s="7" t="s">
        <v>9</v>
      </c>
      <c r="Q4" s="18"/>
      <c r="R4" s="18"/>
      <c r="S4" s="11" t="s">
        <v>8</v>
      </c>
      <c r="T4" s="7" t="s">
        <v>9</v>
      </c>
      <c r="U4" s="21" t="s">
        <v>19</v>
      </c>
      <c r="V4" s="21" t="s">
        <v>20</v>
      </c>
      <c r="W4" s="11" t="s">
        <v>8</v>
      </c>
      <c r="X4" s="7" t="s">
        <v>9</v>
      </c>
      <c r="Y4" s="7" t="s">
        <v>8</v>
      </c>
      <c r="Z4" s="7" t="s">
        <v>9</v>
      </c>
      <c r="AA4" s="18"/>
      <c r="AB4" s="18"/>
      <c r="AC4" s="27"/>
      <c r="AD4" s="28"/>
      <c r="AE4" s="56" t="s">
        <v>26</v>
      </c>
      <c r="AF4" s="43" t="s">
        <v>27</v>
      </c>
      <c r="AG4" s="62" t="s">
        <v>26</v>
      </c>
      <c r="AH4" s="47" t="s">
        <v>27</v>
      </c>
    </row>
    <row r="5" spans="1:34" ht="15.75" thickBot="1" x14ac:dyDescent="0.3">
      <c r="A5" s="30"/>
      <c r="B5" s="31" t="s">
        <v>10</v>
      </c>
      <c r="C5" s="32">
        <v>3</v>
      </c>
      <c r="D5" s="30">
        <v>3</v>
      </c>
      <c r="E5" s="30">
        <v>3</v>
      </c>
      <c r="F5" s="30">
        <v>3</v>
      </c>
      <c r="G5" s="30">
        <v>1</v>
      </c>
      <c r="H5" s="30">
        <v>1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3">
        <v>1</v>
      </c>
      <c r="R5" s="33">
        <v>1</v>
      </c>
      <c r="S5" s="32">
        <v>3</v>
      </c>
      <c r="T5" s="30">
        <v>3</v>
      </c>
      <c r="U5" s="33">
        <v>1</v>
      </c>
      <c r="V5" s="33">
        <v>1</v>
      </c>
      <c r="W5" s="32">
        <v>2</v>
      </c>
      <c r="X5" s="30">
        <v>2</v>
      </c>
      <c r="Y5" s="30">
        <v>0</v>
      </c>
      <c r="Z5" s="30">
        <v>0</v>
      </c>
      <c r="AA5" s="33">
        <v>1</v>
      </c>
      <c r="AB5" s="33">
        <v>1</v>
      </c>
      <c r="AC5" s="34"/>
      <c r="AD5" s="33"/>
      <c r="AE5" s="57"/>
      <c r="AF5" s="44"/>
      <c r="AG5" s="63"/>
      <c r="AH5" s="48"/>
    </row>
    <row r="6" spans="1:34" x14ac:dyDescent="0.25">
      <c r="A6" s="3" t="s">
        <v>16</v>
      </c>
      <c r="B6">
        <v>1</v>
      </c>
      <c r="C6" s="12">
        <v>3</v>
      </c>
      <c r="D6" s="10">
        <v>3</v>
      </c>
      <c r="E6" s="10">
        <v>3</v>
      </c>
      <c r="F6" s="10">
        <v>3</v>
      </c>
      <c r="G6" s="10">
        <v>1</v>
      </c>
      <c r="H6" s="10">
        <v>1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9">
        <f>(D6+F6+H6+J6+L6+N6+P6)/(C6+E6+G6+I6+K6+M6+O6)</f>
        <v>1</v>
      </c>
      <c r="R6" s="19">
        <f>(D6+F6+H6+J6+L6+N6+P6)/($D$5+$F$5+$H$5+$J$5+$L$5+$N$5+$P$5)</f>
        <v>1</v>
      </c>
      <c r="S6" s="12">
        <v>3</v>
      </c>
      <c r="T6" s="10">
        <v>3</v>
      </c>
      <c r="U6" s="19">
        <f>T6/S6</f>
        <v>1</v>
      </c>
      <c r="V6" s="19">
        <f>T6/$T$5</f>
        <v>1</v>
      </c>
      <c r="W6" s="12">
        <v>2</v>
      </c>
      <c r="X6" s="10">
        <v>2</v>
      </c>
      <c r="Y6" s="10">
        <v>0</v>
      </c>
      <c r="Z6" s="10">
        <v>0</v>
      </c>
      <c r="AA6" s="20">
        <f>IF(W6=0,1,X6/W6)*W6/(W6+Y6)+IF(Y6=0,1,Z6/Y6)*Y6/(W6+Y6)</f>
        <v>1</v>
      </c>
      <c r="AB6" s="20">
        <f>IF($X$5=0,1,X6/$X$5)*$X$5/($X$5+$Z$5)+IF($Z$5=0,1,Z6/$Z$5)*$Z$5/($X$5+$Z$5)</f>
        <v>1</v>
      </c>
      <c r="AC6" s="22">
        <f>(Q6+U6+AA6)/3</f>
        <v>1</v>
      </c>
      <c r="AD6" s="19">
        <f>(R6+V6+AB6)/3</f>
        <v>1</v>
      </c>
      <c r="AE6" s="58">
        <v>8.6900000000000005E-2</v>
      </c>
      <c r="AF6" s="59">
        <f>(AE6-$AE$16)^2</f>
        <v>1.0118761000000008E-3</v>
      </c>
      <c r="AG6" s="64">
        <v>30</v>
      </c>
      <c r="AH6" s="65">
        <f>(AG6-$AG$16)^2</f>
        <v>10.890000000000004</v>
      </c>
    </row>
    <row r="7" spans="1:34" x14ac:dyDescent="0.25">
      <c r="A7" s="3"/>
      <c r="B7">
        <v>2</v>
      </c>
      <c r="C7" s="12">
        <v>3</v>
      </c>
      <c r="D7" s="10">
        <v>3</v>
      </c>
      <c r="E7" s="10">
        <v>3</v>
      </c>
      <c r="F7" s="10">
        <v>3</v>
      </c>
      <c r="G7" s="10">
        <v>1</v>
      </c>
      <c r="H7" s="10">
        <v>1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9">
        <f t="shared" ref="Q7:Q15" si="0">(D7+F7+H7+J7+L7+N7+P7)/(C7+E7+G7+I7+K7+M7+O7)</f>
        <v>1</v>
      </c>
      <c r="R7" s="19">
        <f t="shared" ref="R7:R15" si="1">(D7+F7+H7+J7+L7+N7+P7)/($D$5+$F$5+$H$5+$J$5+$L$5+$N$5+$P$5)</f>
        <v>1</v>
      </c>
      <c r="S7" s="12">
        <v>3</v>
      </c>
      <c r="T7" s="10">
        <v>3</v>
      </c>
      <c r="U7" s="19">
        <f t="shared" ref="U7:U15" si="2">T7/S7</f>
        <v>1</v>
      </c>
      <c r="V7" s="19">
        <f t="shared" ref="V7:V15" si="3">T7/$T$5</f>
        <v>1</v>
      </c>
      <c r="W7" s="12">
        <v>2</v>
      </c>
      <c r="X7" s="10">
        <v>2</v>
      </c>
      <c r="Y7" s="10">
        <v>0</v>
      </c>
      <c r="Z7" s="10">
        <v>0</v>
      </c>
      <c r="AA7" s="20">
        <f t="shared" ref="AA7:AA15" si="4">IF(W7=0,1,X7/W7)*W7/(W7+Y7)+IF(Y7=0,1,Z7/Y7)*Y7/(W7+Y7)</f>
        <v>1</v>
      </c>
      <c r="AB7" s="20">
        <f t="shared" ref="AB7:AB15" si="5">IF($X$5=0,1,X7/$X$5)*$X$5/($X$5+$Z$5)+IF($Z$5=0,1,Z7/$Z$5)*$Z$5/($X$5+$Z$5)</f>
        <v>1</v>
      </c>
      <c r="AC7" s="22">
        <f t="shared" ref="AC7:AC15" si="6">(Q7+U7+AA7)/3</f>
        <v>1</v>
      </c>
      <c r="AD7" s="19">
        <f t="shared" ref="AD7:AD15" si="7">(R7+V7+AB7)/3</f>
        <v>1</v>
      </c>
      <c r="AE7" s="58">
        <v>4.9599999999999998E-2</v>
      </c>
      <c r="AF7" s="59">
        <f t="shared" ref="AF7:AF15" si="8">(AE7-$AE$16)^2</f>
        <v>3.0140099999999945E-5</v>
      </c>
      <c r="AG7" s="64">
        <v>28</v>
      </c>
      <c r="AH7" s="65">
        <f t="shared" ref="AH7:AH15" si="9">(AG7-$AG$16)^2</f>
        <v>1.6900000000000019</v>
      </c>
    </row>
    <row r="8" spans="1:34" x14ac:dyDescent="0.25">
      <c r="A8" s="3"/>
      <c r="B8">
        <v>3</v>
      </c>
      <c r="C8" s="12">
        <v>3</v>
      </c>
      <c r="D8" s="10">
        <v>3</v>
      </c>
      <c r="E8" s="10">
        <v>3</v>
      </c>
      <c r="F8" s="10">
        <v>3</v>
      </c>
      <c r="G8" s="10">
        <v>1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9">
        <f t="shared" si="0"/>
        <v>1</v>
      </c>
      <c r="R8" s="19">
        <f t="shared" si="1"/>
        <v>1</v>
      </c>
      <c r="S8" s="12">
        <v>3</v>
      </c>
      <c r="T8" s="10">
        <v>3</v>
      </c>
      <c r="U8" s="19">
        <f t="shared" si="2"/>
        <v>1</v>
      </c>
      <c r="V8" s="19">
        <f t="shared" si="3"/>
        <v>1</v>
      </c>
      <c r="W8" s="12">
        <v>2</v>
      </c>
      <c r="X8" s="10">
        <v>2</v>
      </c>
      <c r="Y8" s="10">
        <v>0</v>
      </c>
      <c r="Z8" s="10">
        <v>0</v>
      </c>
      <c r="AA8" s="20">
        <f t="shared" si="4"/>
        <v>1</v>
      </c>
      <c r="AB8" s="20">
        <f t="shared" si="5"/>
        <v>1</v>
      </c>
      <c r="AC8" s="22">
        <f t="shared" si="6"/>
        <v>1</v>
      </c>
      <c r="AD8" s="19">
        <f t="shared" si="7"/>
        <v>1</v>
      </c>
      <c r="AE8" s="58">
        <v>5.2400000000000002E-2</v>
      </c>
      <c r="AF8" s="59">
        <f t="shared" si="8"/>
        <v>7.2360999999999518E-6</v>
      </c>
      <c r="AG8" s="64">
        <v>27</v>
      </c>
      <c r="AH8" s="65">
        <f t="shared" si="9"/>
        <v>9.0000000000000427E-2</v>
      </c>
    </row>
    <row r="9" spans="1:34" x14ac:dyDescent="0.25">
      <c r="A9" s="3"/>
      <c r="B9">
        <v>4</v>
      </c>
      <c r="C9" s="12">
        <v>3</v>
      </c>
      <c r="D9" s="10">
        <v>3</v>
      </c>
      <c r="E9" s="10">
        <v>3</v>
      </c>
      <c r="F9" s="10">
        <v>3</v>
      </c>
      <c r="G9" s="10">
        <v>1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9">
        <f t="shared" si="0"/>
        <v>1</v>
      </c>
      <c r="R9" s="19">
        <f t="shared" si="1"/>
        <v>1</v>
      </c>
      <c r="S9" s="12">
        <v>3</v>
      </c>
      <c r="T9" s="10">
        <v>3</v>
      </c>
      <c r="U9" s="19">
        <f t="shared" si="2"/>
        <v>1</v>
      </c>
      <c r="V9" s="19">
        <f t="shared" si="3"/>
        <v>1</v>
      </c>
      <c r="W9" s="12">
        <v>2</v>
      </c>
      <c r="X9" s="10">
        <v>2</v>
      </c>
      <c r="Y9" s="10">
        <v>0</v>
      </c>
      <c r="Z9" s="10">
        <v>0</v>
      </c>
      <c r="AA9" s="20">
        <f t="shared" si="4"/>
        <v>1</v>
      </c>
      <c r="AB9" s="20">
        <f t="shared" si="5"/>
        <v>1</v>
      </c>
      <c r="AC9" s="22">
        <f t="shared" si="6"/>
        <v>1</v>
      </c>
      <c r="AD9" s="19">
        <f t="shared" si="7"/>
        <v>1</v>
      </c>
      <c r="AE9" s="58">
        <v>4.0099999999999997E-2</v>
      </c>
      <c r="AF9" s="59">
        <f t="shared" si="8"/>
        <v>2.2470009999999989E-4</v>
      </c>
      <c r="AG9" s="64">
        <v>23</v>
      </c>
      <c r="AH9" s="65">
        <f t="shared" si="9"/>
        <v>13.689999999999994</v>
      </c>
    </row>
    <row r="10" spans="1:34" x14ac:dyDescent="0.25">
      <c r="A10" s="3"/>
      <c r="B10">
        <v>5</v>
      </c>
      <c r="C10" s="12">
        <v>3</v>
      </c>
      <c r="D10" s="10">
        <v>3</v>
      </c>
      <c r="E10" s="10">
        <v>3</v>
      </c>
      <c r="F10" s="10">
        <v>3</v>
      </c>
      <c r="G10" s="10">
        <v>1</v>
      </c>
      <c r="H10" s="10">
        <v>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4</v>
      </c>
      <c r="P10" s="10">
        <v>0</v>
      </c>
      <c r="Q10" s="19">
        <f t="shared" si="0"/>
        <v>0.63636363636363635</v>
      </c>
      <c r="R10" s="19">
        <f t="shared" si="1"/>
        <v>1</v>
      </c>
      <c r="S10" s="12">
        <v>3</v>
      </c>
      <c r="T10" s="10">
        <v>3</v>
      </c>
      <c r="U10" s="19">
        <f t="shared" si="2"/>
        <v>1</v>
      </c>
      <c r="V10" s="19">
        <f t="shared" si="3"/>
        <v>1</v>
      </c>
      <c r="W10" s="12">
        <v>2</v>
      </c>
      <c r="X10" s="10">
        <v>2</v>
      </c>
      <c r="Y10" s="10">
        <v>0</v>
      </c>
      <c r="Z10" s="10">
        <v>0</v>
      </c>
      <c r="AA10" s="20">
        <f t="shared" si="4"/>
        <v>1</v>
      </c>
      <c r="AB10" s="20">
        <f t="shared" si="5"/>
        <v>1</v>
      </c>
      <c r="AC10" s="22">
        <f t="shared" si="6"/>
        <v>0.87878787878787878</v>
      </c>
      <c r="AD10" s="19">
        <f t="shared" si="7"/>
        <v>1</v>
      </c>
      <c r="AE10" s="58">
        <v>4.1799999999999997E-2</v>
      </c>
      <c r="AF10" s="59">
        <f t="shared" si="8"/>
        <v>1.7662409999999991E-4</v>
      </c>
      <c r="AG10" s="64">
        <v>28</v>
      </c>
      <c r="AH10" s="65">
        <f t="shared" si="9"/>
        <v>1.6900000000000019</v>
      </c>
    </row>
    <row r="11" spans="1:34" x14ac:dyDescent="0.25">
      <c r="A11" s="3"/>
      <c r="B11">
        <v>6</v>
      </c>
      <c r="C11" s="12">
        <v>3</v>
      </c>
      <c r="D11" s="10">
        <v>3</v>
      </c>
      <c r="E11" s="10">
        <v>3</v>
      </c>
      <c r="F11" s="10">
        <v>3</v>
      </c>
      <c r="G11" s="10">
        <v>1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9">
        <f t="shared" si="0"/>
        <v>1</v>
      </c>
      <c r="R11" s="19">
        <f t="shared" si="1"/>
        <v>1</v>
      </c>
      <c r="S11" s="12">
        <v>3</v>
      </c>
      <c r="T11" s="10">
        <v>3</v>
      </c>
      <c r="U11" s="19">
        <f t="shared" si="2"/>
        <v>1</v>
      </c>
      <c r="V11" s="19">
        <f t="shared" si="3"/>
        <v>1</v>
      </c>
      <c r="W11" s="12">
        <v>2</v>
      </c>
      <c r="X11" s="10">
        <v>2</v>
      </c>
      <c r="Y11" s="10">
        <v>0</v>
      </c>
      <c r="Z11" s="10">
        <v>0</v>
      </c>
      <c r="AA11" s="20">
        <f t="shared" si="4"/>
        <v>1</v>
      </c>
      <c r="AB11" s="20">
        <f t="shared" si="5"/>
        <v>1</v>
      </c>
      <c r="AC11" s="22">
        <f t="shared" si="6"/>
        <v>1</v>
      </c>
      <c r="AD11" s="19">
        <f t="shared" si="7"/>
        <v>1</v>
      </c>
      <c r="AE11" s="58">
        <v>6.1199999999999997E-2</v>
      </c>
      <c r="AF11" s="59">
        <f t="shared" si="8"/>
        <v>3.7332100000000055E-5</v>
      </c>
      <c r="AG11" s="64">
        <v>26</v>
      </c>
      <c r="AH11" s="65">
        <f t="shared" si="9"/>
        <v>0.48999999999999899</v>
      </c>
    </row>
    <row r="12" spans="1:34" x14ac:dyDescent="0.25">
      <c r="A12" s="3"/>
      <c r="B12">
        <v>7</v>
      </c>
      <c r="C12" s="12">
        <v>3</v>
      </c>
      <c r="D12" s="10">
        <v>3</v>
      </c>
      <c r="E12" s="10">
        <v>3</v>
      </c>
      <c r="F12" s="10">
        <v>3</v>
      </c>
      <c r="G12" s="10">
        <v>1</v>
      </c>
      <c r="H12" s="10">
        <v>1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9">
        <f t="shared" si="0"/>
        <v>1</v>
      </c>
      <c r="R12" s="19">
        <f t="shared" si="1"/>
        <v>1</v>
      </c>
      <c r="S12" s="12">
        <v>3</v>
      </c>
      <c r="T12" s="10">
        <v>3</v>
      </c>
      <c r="U12" s="19">
        <f t="shared" si="2"/>
        <v>1</v>
      </c>
      <c r="V12" s="19">
        <f t="shared" si="3"/>
        <v>1</v>
      </c>
      <c r="W12" s="12">
        <v>2</v>
      </c>
      <c r="X12" s="10">
        <v>2</v>
      </c>
      <c r="Y12" s="10">
        <v>0</v>
      </c>
      <c r="Z12" s="10">
        <v>0</v>
      </c>
      <c r="AA12" s="20">
        <f t="shared" si="4"/>
        <v>1</v>
      </c>
      <c r="AB12" s="20">
        <f t="shared" si="5"/>
        <v>1</v>
      </c>
      <c r="AC12" s="22">
        <f t="shared" si="6"/>
        <v>1</v>
      </c>
      <c r="AD12" s="19">
        <f t="shared" si="7"/>
        <v>1</v>
      </c>
      <c r="AE12" s="58">
        <v>4.5499999999999999E-2</v>
      </c>
      <c r="AF12" s="59">
        <f t="shared" si="8"/>
        <v>9.1968099999999896E-5</v>
      </c>
      <c r="AG12" s="64">
        <v>24</v>
      </c>
      <c r="AH12" s="65">
        <f t="shared" si="9"/>
        <v>7.2899999999999965</v>
      </c>
    </row>
    <row r="13" spans="1:34" x14ac:dyDescent="0.25">
      <c r="A13" s="3"/>
      <c r="B13">
        <v>8</v>
      </c>
      <c r="C13" s="12">
        <v>3</v>
      </c>
      <c r="D13" s="10">
        <v>3</v>
      </c>
      <c r="E13" s="10">
        <v>3</v>
      </c>
      <c r="F13" s="10">
        <v>3</v>
      </c>
      <c r="G13" s="10">
        <v>1</v>
      </c>
      <c r="H13" s="10">
        <v>1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9">
        <f t="shared" si="0"/>
        <v>1</v>
      </c>
      <c r="R13" s="19">
        <f t="shared" si="1"/>
        <v>1</v>
      </c>
      <c r="S13" s="12">
        <v>3</v>
      </c>
      <c r="T13" s="10">
        <v>3</v>
      </c>
      <c r="U13" s="19">
        <f t="shared" si="2"/>
        <v>1</v>
      </c>
      <c r="V13" s="19">
        <f t="shared" si="3"/>
        <v>1</v>
      </c>
      <c r="W13" s="12">
        <v>2</v>
      </c>
      <c r="X13" s="10">
        <v>2</v>
      </c>
      <c r="Y13" s="10">
        <v>0</v>
      </c>
      <c r="Z13" s="10">
        <v>0</v>
      </c>
      <c r="AA13" s="20">
        <f t="shared" si="4"/>
        <v>1</v>
      </c>
      <c r="AB13" s="20">
        <f t="shared" si="5"/>
        <v>1</v>
      </c>
      <c r="AC13" s="22">
        <f t="shared" si="6"/>
        <v>1</v>
      </c>
      <c r="AD13" s="19">
        <f t="shared" si="7"/>
        <v>1</v>
      </c>
      <c r="AE13" s="58">
        <v>7.3400000000000007E-2</v>
      </c>
      <c r="AF13" s="59">
        <f t="shared" si="8"/>
        <v>3.352561000000005E-4</v>
      </c>
      <c r="AG13" s="64">
        <v>29</v>
      </c>
      <c r="AH13" s="65">
        <f t="shared" si="9"/>
        <v>5.2900000000000036</v>
      </c>
    </row>
    <row r="14" spans="1:34" x14ac:dyDescent="0.25">
      <c r="A14" s="3"/>
      <c r="B14">
        <v>9</v>
      </c>
      <c r="C14" s="12">
        <v>3</v>
      </c>
      <c r="D14" s="10">
        <v>3</v>
      </c>
      <c r="E14" s="10">
        <v>3</v>
      </c>
      <c r="F14" s="10">
        <v>3</v>
      </c>
      <c r="G14" s="10">
        <v>1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9">
        <f t="shared" si="0"/>
        <v>1</v>
      </c>
      <c r="R14" s="19">
        <f t="shared" si="1"/>
        <v>1</v>
      </c>
      <c r="S14" s="12">
        <v>3</v>
      </c>
      <c r="T14" s="10">
        <v>3</v>
      </c>
      <c r="U14" s="19">
        <f t="shared" si="2"/>
        <v>1</v>
      </c>
      <c r="V14" s="19">
        <f t="shared" si="3"/>
        <v>1</v>
      </c>
      <c r="W14" s="12">
        <v>2</v>
      </c>
      <c r="X14" s="10">
        <v>2</v>
      </c>
      <c r="Y14" s="10">
        <v>0</v>
      </c>
      <c r="Z14" s="10">
        <v>0</v>
      </c>
      <c r="AA14" s="20">
        <f t="shared" si="4"/>
        <v>1</v>
      </c>
      <c r="AB14" s="20">
        <f t="shared" si="5"/>
        <v>1</v>
      </c>
      <c r="AC14" s="22">
        <f t="shared" si="6"/>
        <v>1</v>
      </c>
      <c r="AD14" s="19">
        <f t="shared" si="7"/>
        <v>1</v>
      </c>
      <c r="AE14" s="58">
        <v>5.11E-2</v>
      </c>
      <c r="AF14" s="59">
        <f t="shared" si="8"/>
        <v>1.5920099999999949E-5</v>
      </c>
      <c r="AG14" s="64">
        <v>25</v>
      </c>
      <c r="AH14" s="65">
        <f t="shared" si="9"/>
        <v>2.8899999999999975</v>
      </c>
    </row>
    <row r="15" spans="1:34" x14ac:dyDescent="0.25">
      <c r="A15" s="6"/>
      <c r="B15" s="8">
        <v>10</v>
      </c>
      <c r="C15" s="29">
        <v>3</v>
      </c>
      <c r="D15" s="8">
        <v>3</v>
      </c>
      <c r="E15" s="8">
        <v>3</v>
      </c>
      <c r="F15" s="8">
        <v>3</v>
      </c>
      <c r="G15" s="8">
        <v>1</v>
      </c>
      <c r="H15" s="8">
        <v>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24">
        <f t="shared" si="0"/>
        <v>1</v>
      </c>
      <c r="R15" s="24">
        <f t="shared" si="1"/>
        <v>1</v>
      </c>
      <c r="S15" s="29">
        <v>3</v>
      </c>
      <c r="T15" s="8">
        <v>3</v>
      </c>
      <c r="U15" s="24">
        <f t="shared" si="2"/>
        <v>1</v>
      </c>
      <c r="V15" s="24">
        <f t="shared" si="3"/>
        <v>1</v>
      </c>
      <c r="W15" s="29">
        <v>2</v>
      </c>
      <c r="X15" s="8">
        <v>2</v>
      </c>
      <c r="Y15" s="8">
        <v>0</v>
      </c>
      <c r="Z15" s="8">
        <v>0</v>
      </c>
      <c r="AA15" s="24">
        <f t="shared" si="4"/>
        <v>1</v>
      </c>
      <c r="AB15" s="24">
        <f t="shared" si="5"/>
        <v>1</v>
      </c>
      <c r="AC15" s="23">
        <f t="shared" si="6"/>
        <v>1</v>
      </c>
      <c r="AD15" s="24">
        <f t="shared" si="7"/>
        <v>1</v>
      </c>
      <c r="AE15" s="60">
        <v>4.8899999999999999E-2</v>
      </c>
      <c r="AF15" s="46">
        <f t="shared" si="8"/>
        <v>3.8316099999999929E-5</v>
      </c>
      <c r="AG15" s="66">
        <v>27</v>
      </c>
      <c r="AH15" s="50">
        <f t="shared" si="9"/>
        <v>9.0000000000000427E-2</v>
      </c>
    </row>
    <row r="16" spans="1:34" ht="15.75" thickBot="1" x14ac:dyDescent="0.3">
      <c r="A16" s="35"/>
      <c r="B16" s="30"/>
      <c r="C16" s="32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3"/>
      <c r="R16" s="33"/>
      <c r="S16" s="32"/>
      <c r="T16" s="30"/>
      <c r="U16" s="33"/>
      <c r="V16" s="33"/>
      <c r="W16" s="32"/>
      <c r="X16" s="30"/>
      <c r="Y16" s="30"/>
      <c r="Z16" s="30"/>
      <c r="AA16" s="33"/>
      <c r="AB16" s="33"/>
      <c r="AC16" s="36">
        <f>AVERAGE(AC6:AC15)</f>
        <v>0.98787878787878791</v>
      </c>
      <c r="AD16" s="37">
        <f>AVERAGE(AD6:AD15)</f>
        <v>1</v>
      </c>
      <c r="AE16" s="61">
        <f>AVERAGE(AE6:AE15)</f>
        <v>5.5089999999999993E-2</v>
      </c>
      <c r="AF16" s="41">
        <f>SQRT(AVERAGE(AF6:AF15))</f>
        <v>1.403342082316354E-2</v>
      </c>
      <c r="AG16" s="67">
        <f>AVERAGE(AG6:AG15)</f>
        <v>26.7</v>
      </c>
      <c r="AH16" s="42">
        <f>SQRT(AVERAGE(AH6:AH15))</f>
        <v>2.1</v>
      </c>
    </row>
    <row r="17" spans="1:34" x14ac:dyDescent="0.25">
      <c r="A17" s="3" t="s">
        <v>17</v>
      </c>
      <c r="B17">
        <v>1</v>
      </c>
      <c r="C17" s="12">
        <v>3</v>
      </c>
      <c r="D17" s="10">
        <v>3</v>
      </c>
      <c r="E17" s="10">
        <v>3</v>
      </c>
      <c r="F17" s="10">
        <v>3</v>
      </c>
      <c r="G17" s="10">
        <v>1</v>
      </c>
      <c r="H17" s="10">
        <v>1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9">
        <f>(D17+F17+H17+J17+L17+N17+P17)/(C17+E17+G17+I17+K17+M17+O17)</f>
        <v>1</v>
      </c>
      <c r="R17" s="19">
        <f>(D17+F17+H17+J17+L17+N17+P17)/($D$5+$F$5+$H$5+$J$5+$L$5+$N$5+$P$5)</f>
        <v>1</v>
      </c>
      <c r="S17" s="12">
        <v>3</v>
      </c>
      <c r="T17" s="10">
        <v>3</v>
      </c>
      <c r="U17" s="19">
        <f>T17/S17</f>
        <v>1</v>
      </c>
      <c r="V17" s="19">
        <f>T17/$T$5</f>
        <v>1</v>
      </c>
      <c r="W17" s="12">
        <v>2</v>
      </c>
      <c r="X17" s="10">
        <v>2</v>
      </c>
      <c r="Y17" s="10">
        <v>0</v>
      </c>
      <c r="Z17" s="10">
        <v>0</v>
      </c>
      <c r="AA17" s="20">
        <f>IF(W17=0,1,X17/W17)*W17/(W17+Y17)+IF(Y17=0,1,Z17/Y17)*Y17/(W17+Y17)</f>
        <v>1</v>
      </c>
      <c r="AB17" s="20">
        <f>IF($X$5=0,1,X17/$X$5)*$X$5/($X$5+$Z$5)+IF($Z$5=0,1,Z17/$Z$5)*$Z$5/($X$5+$Z$5)</f>
        <v>1</v>
      </c>
      <c r="AC17" s="22">
        <f>(Q17+U17+AA17)/3</f>
        <v>1</v>
      </c>
      <c r="AD17" s="19">
        <f>(R17+V17+AB17)/3</f>
        <v>1</v>
      </c>
      <c r="AE17" s="58">
        <v>6.3200000000000006E-2</v>
      </c>
      <c r="AF17" s="59">
        <f>(AE17-$AE$27)^2</f>
        <v>2.2530010000000028E-4</v>
      </c>
      <c r="AG17" s="64">
        <v>27</v>
      </c>
      <c r="AH17" s="65">
        <f>(AG17-$AG$27)^2</f>
        <v>0.80999999999999739</v>
      </c>
    </row>
    <row r="18" spans="1:34" x14ac:dyDescent="0.25">
      <c r="A18" s="3"/>
      <c r="B18">
        <v>2</v>
      </c>
      <c r="C18" s="12">
        <v>3</v>
      </c>
      <c r="D18" s="10">
        <v>3</v>
      </c>
      <c r="E18" s="10">
        <v>3</v>
      </c>
      <c r="F18" s="10">
        <v>3</v>
      </c>
      <c r="G18" s="10">
        <v>1</v>
      </c>
      <c r="H18" s="10">
        <v>1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9">
        <f t="shared" ref="Q18:Q26" si="10">(D18+F18+H18+J18+L18+N18+P18)/(C18+E18+G18+I18+K18+M18+O18)</f>
        <v>1</v>
      </c>
      <c r="R18" s="19">
        <f t="shared" ref="R18:R26" si="11">(D18+F18+H18+J18+L18+N18+P18)/($D$5+$F$5+$H$5+$J$5+$L$5+$N$5+$P$5)</f>
        <v>1</v>
      </c>
      <c r="S18" s="12">
        <v>3</v>
      </c>
      <c r="T18" s="10">
        <v>3</v>
      </c>
      <c r="U18" s="19">
        <f t="shared" ref="U18:U26" si="12">T18/S18</f>
        <v>1</v>
      </c>
      <c r="V18" s="19">
        <f t="shared" ref="V18:V26" si="13">T18/$T$5</f>
        <v>1</v>
      </c>
      <c r="W18" s="12">
        <v>2</v>
      </c>
      <c r="X18" s="10">
        <v>2</v>
      </c>
      <c r="Y18" s="10">
        <v>0</v>
      </c>
      <c r="Z18" s="10">
        <v>0</v>
      </c>
      <c r="AA18" s="20">
        <f t="shared" ref="AA18:AA26" si="14">IF(W18=0,1,X18/W18)*W18/(W18+Y18)+IF(Y18=0,1,Z18/Y18)*Y18/(W18+Y18)</f>
        <v>1</v>
      </c>
      <c r="AB18" s="20">
        <f t="shared" ref="AB18:AB26" si="15">IF($X$5=0,1,X18/$X$5)*$X$5/($X$5+$Z$5)+IF($Z$5=0,1,Z18/$Z$5)*$Z$5/($X$5+$Z$5)</f>
        <v>1</v>
      </c>
      <c r="AC18" s="22">
        <f t="shared" ref="AC18:AC26" si="16">(Q18+U18+AA18)/3</f>
        <v>1</v>
      </c>
      <c r="AD18" s="19">
        <f t="shared" ref="AD18:AD26" si="17">(R18+V18+AB18)/3</f>
        <v>1</v>
      </c>
      <c r="AE18" s="58">
        <v>4.0500000000000001E-2</v>
      </c>
      <c r="AF18" s="59">
        <f t="shared" ref="AF18:AF26" si="18">(AE18-$AE$27)^2</f>
        <v>5.913609999999993E-5</v>
      </c>
      <c r="AG18" s="64">
        <v>30</v>
      </c>
      <c r="AH18" s="65">
        <f t="shared" ref="AH18:AH26" si="19">(AG18-$AG$27)^2</f>
        <v>4.4100000000000064</v>
      </c>
    </row>
    <row r="19" spans="1:34" x14ac:dyDescent="0.25">
      <c r="A19" s="3"/>
      <c r="B19">
        <v>3</v>
      </c>
      <c r="C19" s="12">
        <v>3</v>
      </c>
      <c r="D19" s="10">
        <v>3</v>
      </c>
      <c r="E19" s="10">
        <v>3</v>
      </c>
      <c r="F19" s="10">
        <v>3</v>
      </c>
      <c r="G19" s="10">
        <v>1</v>
      </c>
      <c r="H19" s="10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9">
        <f t="shared" si="10"/>
        <v>1</v>
      </c>
      <c r="R19" s="19">
        <f t="shared" si="11"/>
        <v>1</v>
      </c>
      <c r="S19" s="12">
        <v>3</v>
      </c>
      <c r="T19" s="10">
        <v>3</v>
      </c>
      <c r="U19" s="19">
        <f t="shared" si="12"/>
        <v>1</v>
      </c>
      <c r="V19" s="19">
        <f t="shared" si="13"/>
        <v>1</v>
      </c>
      <c r="W19" s="12">
        <v>2</v>
      </c>
      <c r="X19" s="10">
        <v>2</v>
      </c>
      <c r="Y19" s="10">
        <v>0</v>
      </c>
      <c r="Z19" s="10">
        <v>0</v>
      </c>
      <c r="AA19" s="20">
        <f t="shared" si="14"/>
        <v>1</v>
      </c>
      <c r="AB19" s="20">
        <f t="shared" si="15"/>
        <v>1</v>
      </c>
      <c r="AC19" s="22">
        <f t="shared" si="16"/>
        <v>1</v>
      </c>
      <c r="AD19" s="19">
        <f t="shared" si="17"/>
        <v>1</v>
      </c>
      <c r="AE19" s="58">
        <v>5.4199999999999998E-2</v>
      </c>
      <c r="AF19" s="59">
        <f t="shared" si="18"/>
        <v>3.612010000000002E-5</v>
      </c>
      <c r="AG19" s="64">
        <v>26</v>
      </c>
      <c r="AH19" s="65">
        <f t="shared" si="19"/>
        <v>3.6099999999999945</v>
      </c>
    </row>
    <row r="20" spans="1:34" x14ac:dyDescent="0.25">
      <c r="A20" s="3"/>
      <c r="B20">
        <v>4</v>
      </c>
      <c r="C20" s="12">
        <v>3</v>
      </c>
      <c r="D20" s="10">
        <v>3</v>
      </c>
      <c r="E20" s="10">
        <v>3</v>
      </c>
      <c r="F20" s="10">
        <v>3</v>
      </c>
      <c r="G20" s="10">
        <v>1</v>
      </c>
      <c r="H20" s="10">
        <v>1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9">
        <f t="shared" si="10"/>
        <v>1</v>
      </c>
      <c r="R20" s="19">
        <f t="shared" si="11"/>
        <v>1</v>
      </c>
      <c r="S20" s="12">
        <v>3</v>
      </c>
      <c r="T20" s="10">
        <v>3</v>
      </c>
      <c r="U20" s="19">
        <f t="shared" si="12"/>
        <v>1</v>
      </c>
      <c r="V20" s="19">
        <f t="shared" si="13"/>
        <v>1</v>
      </c>
      <c r="W20" s="12">
        <v>2</v>
      </c>
      <c r="X20" s="10">
        <v>2</v>
      </c>
      <c r="Y20" s="10">
        <v>0</v>
      </c>
      <c r="Z20" s="10">
        <v>0</v>
      </c>
      <c r="AA20" s="20">
        <f t="shared" si="14"/>
        <v>1</v>
      </c>
      <c r="AB20" s="20">
        <f t="shared" si="15"/>
        <v>1</v>
      </c>
      <c r="AC20" s="22">
        <f t="shared" si="16"/>
        <v>1</v>
      </c>
      <c r="AD20" s="19">
        <f t="shared" si="17"/>
        <v>1</v>
      </c>
      <c r="AE20" s="58">
        <v>4.1300000000000003E-2</v>
      </c>
      <c r="AF20" s="59">
        <f t="shared" si="18"/>
        <v>4.7472099999999908E-5</v>
      </c>
      <c r="AG20" s="64">
        <v>30</v>
      </c>
      <c r="AH20" s="65">
        <f t="shared" si="19"/>
        <v>4.4100000000000064</v>
      </c>
    </row>
    <row r="21" spans="1:34" x14ac:dyDescent="0.25">
      <c r="A21" s="3"/>
      <c r="B21">
        <v>5</v>
      </c>
      <c r="C21" s="12">
        <v>3</v>
      </c>
      <c r="D21" s="10">
        <v>3</v>
      </c>
      <c r="E21" s="10">
        <v>3</v>
      </c>
      <c r="F21" s="10">
        <v>3</v>
      </c>
      <c r="G21" s="10">
        <v>1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9">
        <f t="shared" si="10"/>
        <v>1</v>
      </c>
      <c r="R21" s="19">
        <f t="shared" si="11"/>
        <v>1</v>
      </c>
      <c r="S21" s="12">
        <v>3</v>
      </c>
      <c r="T21" s="10">
        <v>3</v>
      </c>
      <c r="U21" s="19">
        <f t="shared" si="12"/>
        <v>1</v>
      </c>
      <c r="V21" s="19">
        <f t="shared" si="13"/>
        <v>1</v>
      </c>
      <c r="W21" s="12">
        <v>2</v>
      </c>
      <c r="X21" s="10">
        <v>2</v>
      </c>
      <c r="Y21" s="10">
        <v>0</v>
      </c>
      <c r="Z21" s="10">
        <v>0</v>
      </c>
      <c r="AA21" s="20">
        <f t="shared" si="14"/>
        <v>1</v>
      </c>
      <c r="AB21" s="20">
        <f t="shared" si="15"/>
        <v>1</v>
      </c>
      <c r="AC21" s="22">
        <f t="shared" si="16"/>
        <v>1</v>
      </c>
      <c r="AD21" s="19">
        <f t="shared" si="17"/>
        <v>1</v>
      </c>
      <c r="AE21" s="58">
        <v>3.7199999999999997E-2</v>
      </c>
      <c r="AF21" s="59">
        <f t="shared" si="18"/>
        <v>1.207801E-4</v>
      </c>
      <c r="AG21" s="64">
        <v>26</v>
      </c>
      <c r="AH21" s="65">
        <f t="shared" si="19"/>
        <v>3.6099999999999945</v>
      </c>
    </row>
    <row r="22" spans="1:34" x14ac:dyDescent="0.25">
      <c r="A22" s="3"/>
      <c r="B22">
        <v>6</v>
      </c>
      <c r="C22" s="12">
        <v>3</v>
      </c>
      <c r="D22" s="10">
        <v>3</v>
      </c>
      <c r="E22" s="10">
        <v>3</v>
      </c>
      <c r="F22" s="10">
        <v>3</v>
      </c>
      <c r="G22" s="10">
        <v>1</v>
      </c>
      <c r="H22" s="10">
        <v>1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9">
        <f t="shared" si="10"/>
        <v>1</v>
      </c>
      <c r="R22" s="19">
        <f t="shared" si="11"/>
        <v>1</v>
      </c>
      <c r="S22" s="12">
        <v>3</v>
      </c>
      <c r="T22" s="10">
        <v>3</v>
      </c>
      <c r="U22" s="19">
        <f t="shared" si="12"/>
        <v>1</v>
      </c>
      <c r="V22" s="19">
        <f t="shared" si="13"/>
        <v>1</v>
      </c>
      <c r="W22" s="12">
        <v>2</v>
      </c>
      <c r="X22" s="10">
        <v>2</v>
      </c>
      <c r="Y22" s="10">
        <v>0</v>
      </c>
      <c r="Z22" s="10">
        <v>0</v>
      </c>
      <c r="AA22" s="20">
        <f t="shared" si="14"/>
        <v>1</v>
      </c>
      <c r="AB22" s="20">
        <f t="shared" si="15"/>
        <v>1</v>
      </c>
      <c r="AC22" s="22">
        <f t="shared" si="16"/>
        <v>1</v>
      </c>
      <c r="AD22" s="19">
        <f t="shared" si="17"/>
        <v>1</v>
      </c>
      <c r="AE22" s="58">
        <v>5.1799999999999999E-2</v>
      </c>
      <c r="AF22" s="59">
        <f t="shared" si="18"/>
        <v>1.3032100000000015E-5</v>
      </c>
      <c r="AG22" s="64">
        <v>28</v>
      </c>
      <c r="AH22" s="65">
        <f t="shared" si="19"/>
        <v>1.0000000000000285E-2</v>
      </c>
    </row>
    <row r="23" spans="1:34" x14ac:dyDescent="0.25">
      <c r="A23" s="3"/>
      <c r="B23">
        <v>7</v>
      </c>
      <c r="C23" s="12">
        <v>3</v>
      </c>
      <c r="D23" s="10">
        <v>3</v>
      </c>
      <c r="E23" s="10">
        <v>3</v>
      </c>
      <c r="F23" s="10">
        <v>3</v>
      </c>
      <c r="G23" s="10">
        <v>1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9">
        <f t="shared" si="10"/>
        <v>1</v>
      </c>
      <c r="R23" s="19">
        <f t="shared" si="11"/>
        <v>1</v>
      </c>
      <c r="S23" s="12">
        <v>3</v>
      </c>
      <c r="T23" s="10">
        <v>3</v>
      </c>
      <c r="U23" s="19">
        <f t="shared" si="12"/>
        <v>1</v>
      </c>
      <c r="V23" s="19">
        <f t="shared" si="13"/>
        <v>1</v>
      </c>
      <c r="W23" s="12">
        <v>2</v>
      </c>
      <c r="X23" s="10">
        <v>2</v>
      </c>
      <c r="Y23" s="10">
        <v>0</v>
      </c>
      <c r="Z23" s="10">
        <v>0</v>
      </c>
      <c r="AA23" s="20">
        <f t="shared" si="14"/>
        <v>1</v>
      </c>
      <c r="AB23" s="20">
        <f t="shared" si="15"/>
        <v>1</v>
      </c>
      <c r="AC23" s="22">
        <f t="shared" si="16"/>
        <v>1</v>
      </c>
      <c r="AD23" s="19">
        <f t="shared" si="17"/>
        <v>1</v>
      </c>
      <c r="AE23" s="58">
        <v>4.8899999999999999E-2</v>
      </c>
      <c r="AF23" s="59">
        <f t="shared" si="18"/>
        <v>5.0410000000000325E-7</v>
      </c>
      <c r="AG23" s="64">
        <v>29</v>
      </c>
      <c r="AH23" s="65">
        <f t="shared" si="19"/>
        <v>1.2100000000000031</v>
      </c>
    </row>
    <row r="24" spans="1:34" x14ac:dyDescent="0.25">
      <c r="A24" s="3"/>
      <c r="B24">
        <v>8</v>
      </c>
      <c r="C24" s="12">
        <v>3</v>
      </c>
      <c r="D24" s="10">
        <v>3</v>
      </c>
      <c r="E24" s="10">
        <v>3</v>
      </c>
      <c r="F24" s="10">
        <v>3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9">
        <f t="shared" si="10"/>
        <v>1</v>
      </c>
      <c r="R24" s="19">
        <f t="shared" si="11"/>
        <v>1</v>
      </c>
      <c r="S24" s="12">
        <v>3</v>
      </c>
      <c r="T24" s="10">
        <v>3</v>
      </c>
      <c r="U24" s="19">
        <f t="shared" si="12"/>
        <v>1</v>
      </c>
      <c r="V24" s="19">
        <f t="shared" si="13"/>
        <v>1</v>
      </c>
      <c r="W24" s="12">
        <v>2</v>
      </c>
      <c r="X24" s="10">
        <v>2</v>
      </c>
      <c r="Y24" s="10">
        <v>0</v>
      </c>
      <c r="Z24" s="10">
        <v>0</v>
      </c>
      <c r="AA24" s="20">
        <f t="shared" si="14"/>
        <v>1</v>
      </c>
      <c r="AB24" s="20">
        <f t="shared" si="15"/>
        <v>1</v>
      </c>
      <c r="AC24" s="22">
        <f t="shared" si="16"/>
        <v>1</v>
      </c>
      <c r="AD24" s="19">
        <f t="shared" si="17"/>
        <v>1</v>
      </c>
      <c r="AE24" s="58">
        <v>6.1100000000000002E-2</v>
      </c>
      <c r="AF24" s="59">
        <f t="shared" si="18"/>
        <v>1.6666810000000011E-4</v>
      </c>
      <c r="AG24" s="64">
        <v>27</v>
      </c>
      <c r="AH24" s="65">
        <f t="shared" si="19"/>
        <v>0.80999999999999739</v>
      </c>
    </row>
    <row r="25" spans="1:34" x14ac:dyDescent="0.25">
      <c r="A25" s="3"/>
      <c r="B25">
        <v>9</v>
      </c>
      <c r="C25" s="12">
        <v>3</v>
      </c>
      <c r="D25" s="10">
        <v>3</v>
      </c>
      <c r="E25" s="10">
        <v>3</v>
      </c>
      <c r="F25" s="10">
        <v>3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9">
        <f t="shared" si="10"/>
        <v>1</v>
      </c>
      <c r="R25" s="19">
        <f t="shared" si="11"/>
        <v>1</v>
      </c>
      <c r="S25" s="12">
        <v>3</v>
      </c>
      <c r="T25" s="10">
        <v>3</v>
      </c>
      <c r="U25" s="19">
        <f t="shared" si="12"/>
        <v>1</v>
      </c>
      <c r="V25" s="19">
        <f t="shared" si="13"/>
        <v>1</v>
      </c>
      <c r="W25" s="12">
        <v>2</v>
      </c>
      <c r="X25" s="10">
        <v>2</v>
      </c>
      <c r="Y25" s="10">
        <v>0</v>
      </c>
      <c r="Z25" s="10">
        <v>0</v>
      </c>
      <c r="AA25" s="20">
        <f t="shared" si="14"/>
        <v>1</v>
      </c>
      <c r="AB25" s="20">
        <f t="shared" si="15"/>
        <v>1</v>
      </c>
      <c r="AC25" s="22">
        <f t="shared" si="16"/>
        <v>1</v>
      </c>
      <c r="AD25" s="19">
        <f t="shared" si="17"/>
        <v>1</v>
      </c>
      <c r="AE25" s="58">
        <v>3.95E-2</v>
      </c>
      <c r="AF25" s="59">
        <f t="shared" si="18"/>
        <v>7.5516099999999939E-5</v>
      </c>
      <c r="AG25" s="64">
        <v>30</v>
      </c>
      <c r="AH25" s="65">
        <f t="shared" si="19"/>
        <v>4.4100000000000064</v>
      </c>
    </row>
    <row r="26" spans="1:34" x14ac:dyDescent="0.25">
      <c r="A26" s="6"/>
      <c r="B26" s="8">
        <v>10</v>
      </c>
      <c r="C26" s="29">
        <v>3</v>
      </c>
      <c r="D26" s="8">
        <v>3</v>
      </c>
      <c r="E26" s="8">
        <v>3</v>
      </c>
      <c r="F26" s="8">
        <v>3</v>
      </c>
      <c r="G26" s="8">
        <v>1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24">
        <f t="shared" si="10"/>
        <v>1</v>
      </c>
      <c r="R26" s="24">
        <f t="shared" si="11"/>
        <v>1</v>
      </c>
      <c r="S26" s="29">
        <v>3</v>
      </c>
      <c r="T26" s="8">
        <v>3</v>
      </c>
      <c r="U26" s="24">
        <f t="shared" si="12"/>
        <v>1</v>
      </c>
      <c r="V26" s="24">
        <f t="shared" si="13"/>
        <v>1</v>
      </c>
      <c r="W26" s="29">
        <v>2</v>
      </c>
      <c r="X26" s="8">
        <v>2</v>
      </c>
      <c r="Y26" s="8">
        <v>0</v>
      </c>
      <c r="Z26" s="8">
        <v>0</v>
      </c>
      <c r="AA26" s="24">
        <f t="shared" si="14"/>
        <v>1</v>
      </c>
      <c r="AB26" s="24">
        <f t="shared" si="15"/>
        <v>1</v>
      </c>
      <c r="AC26" s="23">
        <f t="shared" si="16"/>
        <v>1</v>
      </c>
      <c r="AD26" s="24">
        <f t="shared" si="17"/>
        <v>1</v>
      </c>
      <c r="AE26" s="60">
        <v>4.4200000000000003E-2</v>
      </c>
      <c r="AF26" s="46">
        <f t="shared" si="18"/>
        <v>1.5920099999999949E-5</v>
      </c>
      <c r="AG26" s="66">
        <v>26</v>
      </c>
      <c r="AH26" s="50">
        <f t="shared" si="19"/>
        <v>3.6099999999999945</v>
      </c>
    </row>
    <row r="27" spans="1:34" ht="15.75" thickBot="1" x14ac:dyDescent="0.3">
      <c r="A27" s="35"/>
      <c r="B27" s="30"/>
      <c r="C27" s="32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3"/>
      <c r="R27" s="33"/>
      <c r="S27" s="32"/>
      <c r="T27" s="30"/>
      <c r="U27" s="33"/>
      <c r="V27" s="33"/>
      <c r="W27" s="32"/>
      <c r="X27" s="30"/>
      <c r="Y27" s="30"/>
      <c r="Z27" s="30"/>
      <c r="AA27" s="33"/>
      <c r="AB27" s="33"/>
      <c r="AC27" s="36">
        <f>AVERAGE(AC17:AC26)</f>
        <v>1</v>
      </c>
      <c r="AD27" s="37">
        <f>AVERAGE(AD17:AD26)</f>
        <v>1</v>
      </c>
      <c r="AE27" s="61">
        <f>AVERAGE(AE17:AE26)</f>
        <v>4.8189999999999997E-2</v>
      </c>
      <c r="AF27" s="41">
        <f>SQRT(AVERAGE(AF17:AF26))</f>
        <v>8.7203726984573324E-3</v>
      </c>
      <c r="AG27" s="67">
        <f>AVERAGE(AG17:AG26)</f>
        <v>27.9</v>
      </c>
      <c r="AH27" s="42">
        <f>SQRT(AVERAGE(AH17:AH26))</f>
        <v>1.6401219466856727</v>
      </c>
    </row>
    <row r="28" spans="1:34" x14ac:dyDescent="0.25">
      <c r="A28" s="3" t="s">
        <v>18</v>
      </c>
      <c r="B28">
        <v>1</v>
      </c>
      <c r="C28" s="12">
        <v>3</v>
      </c>
      <c r="D28" s="10">
        <v>3</v>
      </c>
      <c r="E28" s="10">
        <v>3</v>
      </c>
      <c r="F28" s="10">
        <v>3</v>
      </c>
      <c r="G28" s="10">
        <v>1</v>
      </c>
      <c r="H28" s="10">
        <v>1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9">
        <f>(D28+F28+H28+J28+L28+N28+P28)/(C28+E28+G28+I28+K28+M28+O28)</f>
        <v>1</v>
      </c>
      <c r="R28" s="19">
        <f>(D28+F28+H28+J28+L28+N28+P28)/($D$5+$F$5+$H$5+$J$5+$L$5+$N$5+$P$5)</f>
        <v>1</v>
      </c>
      <c r="S28" s="12">
        <v>3</v>
      </c>
      <c r="T28" s="10">
        <v>3</v>
      </c>
      <c r="U28" s="19">
        <f>T28/S28</f>
        <v>1</v>
      </c>
      <c r="V28" s="19">
        <f>T28/$T$5</f>
        <v>1</v>
      </c>
      <c r="W28" s="12">
        <v>2</v>
      </c>
      <c r="X28" s="10">
        <v>2</v>
      </c>
      <c r="Y28" s="10">
        <v>0</v>
      </c>
      <c r="Z28" s="10">
        <v>0</v>
      </c>
      <c r="AA28" s="20">
        <f>IF(W28=0,1,X28/W28)*W28/(W28+Y28)+IF(Y28=0,1,Z28/Y28)*Y28/(W28+Y28)</f>
        <v>1</v>
      </c>
      <c r="AB28" s="20">
        <f>IF($X$5=0,1,X28/$X$5)*$X$5/($X$5+$Z$5)+IF($Z$5=0,1,Z28/$Z$5)*$Z$5/($X$5+$Z$5)</f>
        <v>1</v>
      </c>
      <c r="AC28" s="22">
        <f>(Q28+U28+AA28)/3</f>
        <v>1</v>
      </c>
      <c r="AD28" s="19">
        <f>(R28+V28+AB28)/3</f>
        <v>1</v>
      </c>
      <c r="AE28" s="58">
        <v>7.1599999999999997E-2</v>
      </c>
      <c r="AF28" s="59">
        <f>(AE28-$AE$38)^2</f>
        <v>6.2884900000000107E-5</v>
      </c>
      <c r="AG28" s="64">
        <v>37</v>
      </c>
      <c r="AH28" s="65">
        <f>(AG28-$AG$38)^2</f>
        <v>16</v>
      </c>
    </row>
    <row r="29" spans="1:34" x14ac:dyDescent="0.25">
      <c r="A29" s="3"/>
      <c r="B29">
        <v>2</v>
      </c>
      <c r="C29" s="12">
        <v>3</v>
      </c>
      <c r="D29" s="10">
        <v>3</v>
      </c>
      <c r="E29" s="10">
        <v>3</v>
      </c>
      <c r="F29" s="10">
        <v>3</v>
      </c>
      <c r="G29" s="10">
        <v>1</v>
      </c>
      <c r="H29" s="10">
        <v>1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9">
        <f t="shared" ref="Q29:Q37" si="20">(D29+F29+H29+J29+L29+N29+P29)/(C29+E29+G29+I29+K29+M29+O29)</f>
        <v>1</v>
      </c>
      <c r="R29" s="19">
        <f t="shared" ref="R29:R37" si="21">(D29+F29+H29+J29+L29+N29+P29)/($D$5+$F$5+$H$5+$J$5+$L$5+$N$5+$P$5)</f>
        <v>1</v>
      </c>
      <c r="S29" s="12">
        <v>3</v>
      </c>
      <c r="T29" s="10">
        <v>3</v>
      </c>
      <c r="U29" s="19">
        <f t="shared" ref="U29:U37" si="22">T29/S29</f>
        <v>1</v>
      </c>
      <c r="V29" s="19">
        <f t="shared" ref="V29:V37" si="23">T29/$T$5</f>
        <v>1</v>
      </c>
      <c r="W29" s="12">
        <v>2</v>
      </c>
      <c r="X29" s="10">
        <v>2</v>
      </c>
      <c r="Y29" s="10">
        <v>0</v>
      </c>
      <c r="Z29" s="10">
        <v>0</v>
      </c>
      <c r="AA29" s="20">
        <f t="shared" ref="AA29:AA37" si="24">IF(W29=0,1,X29/W29)*W29/(W29+Y29)+IF(Y29=0,1,Z29/Y29)*Y29/(W29+Y29)</f>
        <v>1</v>
      </c>
      <c r="AB29" s="20">
        <f t="shared" ref="AB29:AB37" si="25">IF($X$5=0,1,X29/$X$5)*$X$5/($X$5+$Z$5)+IF($Z$5=0,1,Z29/$Z$5)*$Z$5/($X$5+$Z$5)</f>
        <v>1</v>
      </c>
      <c r="AC29" s="22">
        <f t="shared" ref="AC29:AC37" si="26">(Q29+U29+AA29)/3</f>
        <v>1</v>
      </c>
      <c r="AD29" s="19">
        <f t="shared" ref="AD29:AD37" si="27">(R29+V29+AB29)/3</f>
        <v>1</v>
      </c>
      <c r="AE29" s="58">
        <v>6.5000000000000002E-2</v>
      </c>
      <c r="AF29" s="59">
        <f t="shared" ref="AF29:AF37" si="28">(AE29-$AE$38)^2</f>
        <v>1.7689000000000313E-6</v>
      </c>
      <c r="AG29" s="64">
        <v>36</v>
      </c>
      <c r="AH29" s="65">
        <f t="shared" ref="AH29:AH37" si="29">(AG29-$AG$38)^2</f>
        <v>9</v>
      </c>
    </row>
    <row r="30" spans="1:34" x14ac:dyDescent="0.25">
      <c r="A30" s="3"/>
      <c r="B30">
        <v>3</v>
      </c>
      <c r="C30" s="12">
        <v>3</v>
      </c>
      <c r="D30" s="10">
        <v>3</v>
      </c>
      <c r="E30" s="10">
        <v>3</v>
      </c>
      <c r="F30" s="10">
        <v>3</v>
      </c>
      <c r="G30" s="10">
        <v>1</v>
      </c>
      <c r="H30" s="10">
        <v>1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9">
        <f t="shared" si="20"/>
        <v>1</v>
      </c>
      <c r="R30" s="19">
        <f t="shared" si="21"/>
        <v>1</v>
      </c>
      <c r="S30" s="12">
        <v>3</v>
      </c>
      <c r="T30" s="10">
        <v>3</v>
      </c>
      <c r="U30" s="19">
        <f t="shared" si="22"/>
        <v>1</v>
      </c>
      <c r="V30" s="19">
        <f t="shared" si="23"/>
        <v>1</v>
      </c>
      <c r="W30" s="12">
        <v>2</v>
      </c>
      <c r="X30" s="10">
        <v>2</v>
      </c>
      <c r="Y30" s="10">
        <v>0</v>
      </c>
      <c r="Z30" s="10">
        <v>0</v>
      </c>
      <c r="AA30" s="20">
        <f t="shared" si="24"/>
        <v>1</v>
      </c>
      <c r="AB30" s="20">
        <f t="shared" si="25"/>
        <v>1</v>
      </c>
      <c r="AC30" s="22">
        <f t="shared" si="26"/>
        <v>1</v>
      </c>
      <c r="AD30" s="19">
        <f t="shared" si="27"/>
        <v>1</v>
      </c>
      <c r="AE30" s="58">
        <v>6.3600000000000004E-2</v>
      </c>
      <c r="AF30" s="59">
        <f t="shared" si="28"/>
        <v>4.8999999999981438E-9</v>
      </c>
      <c r="AG30" s="64">
        <v>33</v>
      </c>
      <c r="AH30" s="65">
        <f t="shared" si="29"/>
        <v>0</v>
      </c>
    </row>
    <row r="31" spans="1:34" x14ac:dyDescent="0.25">
      <c r="A31" s="3"/>
      <c r="B31">
        <v>4</v>
      </c>
      <c r="C31" s="12">
        <v>3</v>
      </c>
      <c r="D31" s="10">
        <v>3</v>
      </c>
      <c r="E31" s="10">
        <v>3</v>
      </c>
      <c r="F31" s="10">
        <v>3</v>
      </c>
      <c r="G31" s="10">
        <v>1</v>
      </c>
      <c r="H31" s="10">
        <v>1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9">
        <f t="shared" si="20"/>
        <v>1</v>
      </c>
      <c r="R31" s="19">
        <f t="shared" si="21"/>
        <v>1</v>
      </c>
      <c r="S31" s="12">
        <v>3</v>
      </c>
      <c r="T31" s="10">
        <v>3</v>
      </c>
      <c r="U31" s="19">
        <f t="shared" si="22"/>
        <v>1</v>
      </c>
      <c r="V31" s="19">
        <f t="shared" si="23"/>
        <v>1</v>
      </c>
      <c r="W31" s="12">
        <v>2</v>
      </c>
      <c r="X31" s="10">
        <v>2</v>
      </c>
      <c r="Y31" s="10">
        <v>0</v>
      </c>
      <c r="Z31" s="10">
        <v>0</v>
      </c>
      <c r="AA31" s="20">
        <f t="shared" si="24"/>
        <v>1</v>
      </c>
      <c r="AB31" s="20">
        <f t="shared" si="25"/>
        <v>1</v>
      </c>
      <c r="AC31" s="22">
        <f t="shared" si="26"/>
        <v>1</v>
      </c>
      <c r="AD31" s="19">
        <f t="shared" si="27"/>
        <v>1</v>
      </c>
      <c r="AE31" s="58">
        <v>5.4800000000000001E-2</v>
      </c>
      <c r="AF31" s="59">
        <f t="shared" si="28"/>
        <v>7.8676899999999809E-5</v>
      </c>
      <c r="AG31" s="64">
        <v>28</v>
      </c>
      <c r="AH31" s="65">
        <f t="shared" si="29"/>
        <v>25</v>
      </c>
    </row>
    <row r="32" spans="1:34" x14ac:dyDescent="0.25">
      <c r="A32" s="3"/>
      <c r="B32">
        <v>5</v>
      </c>
      <c r="C32" s="12">
        <v>3</v>
      </c>
      <c r="D32" s="10">
        <v>3</v>
      </c>
      <c r="E32" s="10">
        <v>3</v>
      </c>
      <c r="F32" s="10">
        <v>3</v>
      </c>
      <c r="G32" s="10">
        <v>1</v>
      </c>
      <c r="H32" s="10">
        <v>1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9">
        <f t="shared" si="20"/>
        <v>1</v>
      </c>
      <c r="R32" s="19">
        <f t="shared" si="21"/>
        <v>1</v>
      </c>
      <c r="S32" s="12">
        <v>3</v>
      </c>
      <c r="T32" s="10">
        <v>3</v>
      </c>
      <c r="U32" s="19">
        <f t="shared" si="22"/>
        <v>1</v>
      </c>
      <c r="V32" s="19">
        <f t="shared" si="23"/>
        <v>1</v>
      </c>
      <c r="W32" s="12">
        <v>2</v>
      </c>
      <c r="X32" s="10">
        <v>2</v>
      </c>
      <c r="Y32" s="10">
        <v>0</v>
      </c>
      <c r="Z32" s="10">
        <v>0</v>
      </c>
      <c r="AA32" s="20">
        <f t="shared" si="24"/>
        <v>1</v>
      </c>
      <c r="AB32" s="20">
        <f t="shared" si="25"/>
        <v>1</v>
      </c>
      <c r="AC32" s="22">
        <f t="shared" si="26"/>
        <v>1</v>
      </c>
      <c r="AD32" s="19">
        <f t="shared" si="27"/>
        <v>1</v>
      </c>
      <c r="AE32" s="58">
        <v>6.4699999999999994E-2</v>
      </c>
      <c r="AF32" s="59">
        <f t="shared" si="28"/>
        <v>1.0609000000000064E-6</v>
      </c>
      <c r="AG32" s="64">
        <v>34</v>
      </c>
      <c r="AH32" s="65">
        <f t="shared" si="29"/>
        <v>1</v>
      </c>
    </row>
    <row r="33" spans="1:34" x14ac:dyDescent="0.25">
      <c r="A33" s="3"/>
      <c r="B33">
        <v>6</v>
      </c>
      <c r="C33" s="12">
        <v>3</v>
      </c>
      <c r="D33" s="10">
        <v>3</v>
      </c>
      <c r="E33" s="10">
        <v>3</v>
      </c>
      <c r="F33" s="10">
        <v>3</v>
      </c>
      <c r="G33" s="10">
        <v>1</v>
      </c>
      <c r="H33" s="10">
        <v>1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9">
        <f t="shared" si="20"/>
        <v>1</v>
      </c>
      <c r="R33" s="19">
        <f t="shared" si="21"/>
        <v>1</v>
      </c>
      <c r="S33" s="12">
        <v>3</v>
      </c>
      <c r="T33" s="10">
        <v>3</v>
      </c>
      <c r="U33" s="19">
        <f t="shared" si="22"/>
        <v>1</v>
      </c>
      <c r="V33" s="19">
        <f t="shared" si="23"/>
        <v>1</v>
      </c>
      <c r="W33" s="12">
        <v>2</v>
      </c>
      <c r="X33" s="10">
        <v>2</v>
      </c>
      <c r="Y33" s="10">
        <v>0</v>
      </c>
      <c r="Z33" s="10">
        <v>0</v>
      </c>
      <c r="AA33" s="20">
        <f t="shared" si="24"/>
        <v>1</v>
      </c>
      <c r="AB33" s="20">
        <f t="shared" si="25"/>
        <v>1</v>
      </c>
      <c r="AC33" s="22">
        <f t="shared" si="26"/>
        <v>1</v>
      </c>
      <c r="AD33" s="19">
        <f t="shared" si="27"/>
        <v>1</v>
      </c>
      <c r="AE33" s="58">
        <v>6.8199999999999997E-2</v>
      </c>
      <c r="AF33" s="59">
        <f t="shared" si="28"/>
        <v>2.0520900000000056E-5</v>
      </c>
      <c r="AG33" s="64">
        <v>35</v>
      </c>
      <c r="AH33" s="65">
        <f t="shared" si="29"/>
        <v>4</v>
      </c>
    </row>
    <row r="34" spans="1:34" x14ac:dyDescent="0.25">
      <c r="A34" s="3"/>
      <c r="B34">
        <v>7</v>
      </c>
      <c r="C34" s="12">
        <v>3</v>
      </c>
      <c r="D34" s="10">
        <v>3</v>
      </c>
      <c r="E34" s="10">
        <v>3</v>
      </c>
      <c r="F34" s="10">
        <v>3</v>
      </c>
      <c r="G34" s="10">
        <v>1</v>
      </c>
      <c r="H34" s="10">
        <v>1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9">
        <f t="shared" si="20"/>
        <v>1</v>
      </c>
      <c r="R34" s="19">
        <f t="shared" si="21"/>
        <v>1</v>
      </c>
      <c r="S34" s="12">
        <v>3</v>
      </c>
      <c r="T34" s="10">
        <v>3</v>
      </c>
      <c r="U34" s="19">
        <f t="shared" si="22"/>
        <v>1</v>
      </c>
      <c r="V34" s="19">
        <f t="shared" si="23"/>
        <v>1</v>
      </c>
      <c r="W34" s="12">
        <v>2</v>
      </c>
      <c r="X34" s="10">
        <v>2</v>
      </c>
      <c r="Y34" s="10">
        <v>0</v>
      </c>
      <c r="Z34" s="10">
        <v>0</v>
      </c>
      <c r="AA34" s="20">
        <f t="shared" si="24"/>
        <v>1</v>
      </c>
      <c r="AB34" s="20">
        <f t="shared" si="25"/>
        <v>1</v>
      </c>
      <c r="AC34" s="22">
        <f t="shared" si="26"/>
        <v>1</v>
      </c>
      <c r="AD34" s="19">
        <f t="shared" si="27"/>
        <v>1</v>
      </c>
      <c r="AE34" s="58">
        <v>5.91E-2</v>
      </c>
      <c r="AF34" s="59">
        <f t="shared" si="28"/>
        <v>2.0884899999999916E-5</v>
      </c>
      <c r="AG34" s="64">
        <v>30</v>
      </c>
      <c r="AH34" s="65">
        <f t="shared" si="29"/>
        <v>9</v>
      </c>
    </row>
    <row r="35" spans="1:34" x14ac:dyDescent="0.25">
      <c r="A35" s="3"/>
      <c r="B35">
        <v>8</v>
      </c>
      <c r="C35" s="12">
        <v>3</v>
      </c>
      <c r="D35" s="10">
        <v>3</v>
      </c>
      <c r="E35" s="10">
        <v>3</v>
      </c>
      <c r="F35" s="10">
        <v>3</v>
      </c>
      <c r="G35" s="10">
        <v>1</v>
      </c>
      <c r="H35" s="10">
        <v>1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9">
        <f t="shared" si="20"/>
        <v>1</v>
      </c>
      <c r="R35" s="19">
        <f t="shared" si="21"/>
        <v>1</v>
      </c>
      <c r="S35" s="12">
        <v>3</v>
      </c>
      <c r="T35" s="10">
        <v>3</v>
      </c>
      <c r="U35" s="19">
        <f t="shared" si="22"/>
        <v>1</v>
      </c>
      <c r="V35" s="19">
        <f t="shared" si="23"/>
        <v>1</v>
      </c>
      <c r="W35" s="12">
        <v>2</v>
      </c>
      <c r="X35" s="10">
        <v>2</v>
      </c>
      <c r="Y35" s="10">
        <v>0</v>
      </c>
      <c r="Z35" s="10">
        <v>0</v>
      </c>
      <c r="AA35" s="20">
        <f t="shared" si="24"/>
        <v>1</v>
      </c>
      <c r="AB35" s="20">
        <f t="shared" si="25"/>
        <v>1</v>
      </c>
      <c r="AC35" s="22">
        <f t="shared" si="26"/>
        <v>1</v>
      </c>
      <c r="AD35" s="19">
        <f t="shared" si="27"/>
        <v>1</v>
      </c>
      <c r="AE35" s="58">
        <v>6.1499999999999999E-2</v>
      </c>
      <c r="AF35" s="59">
        <f t="shared" si="28"/>
        <v>4.7088999999999627E-6</v>
      </c>
      <c r="AG35" s="64">
        <v>32</v>
      </c>
      <c r="AH35" s="65">
        <f t="shared" si="29"/>
        <v>1</v>
      </c>
    </row>
    <row r="36" spans="1:34" x14ac:dyDescent="0.25">
      <c r="A36" s="3"/>
      <c r="B36">
        <v>9</v>
      </c>
      <c r="C36" s="12">
        <v>3</v>
      </c>
      <c r="D36" s="10">
        <v>3</v>
      </c>
      <c r="E36" s="10">
        <v>3</v>
      </c>
      <c r="F36" s="10">
        <v>3</v>
      </c>
      <c r="G36" s="10">
        <v>1</v>
      </c>
      <c r="H36" s="10">
        <v>1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9">
        <f t="shared" si="20"/>
        <v>1</v>
      </c>
      <c r="R36" s="19">
        <f t="shared" si="21"/>
        <v>1</v>
      </c>
      <c r="S36" s="12">
        <v>3</v>
      </c>
      <c r="T36" s="10">
        <v>3</v>
      </c>
      <c r="U36" s="19">
        <f t="shared" si="22"/>
        <v>1</v>
      </c>
      <c r="V36" s="19">
        <f t="shared" si="23"/>
        <v>1</v>
      </c>
      <c r="W36" s="12">
        <v>2</v>
      </c>
      <c r="X36" s="10">
        <v>2</v>
      </c>
      <c r="Y36" s="10">
        <v>0</v>
      </c>
      <c r="Z36" s="10">
        <v>0</v>
      </c>
      <c r="AA36" s="20">
        <f t="shared" si="24"/>
        <v>1</v>
      </c>
      <c r="AB36" s="20">
        <f t="shared" si="25"/>
        <v>1</v>
      </c>
      <c r="AC36" s="22">
        <f t="shared" si="26"/>
        <v>1</v>
      </c>
      <c r="AD36" s="19">
        <f t="shared" si="27"/>
        <v>1</v>
      </c>
      <c r="AE36" s="58">
        <v>7.0499999999999993E-2</v>
      </c>
      <c r="AF36" s="59">
        <f t="shared" si="28"/>
        <v>4.6648900000000041E-5</v>
      </c>
      <c r="AG36" s="64">
        <v>36</v>
      </c>
      <c r="AH36" s="65">
        <f t="shared" si="29"/>
        <v>9</v>
      </c>
    </row>
    <row r="37" spans="1:34" x14ac:dyDescent="0.25">
      <c r="A37" s="6"/>
      <c r="B37" s="8">
        <v>10</v>
      </c>
      <c r="C37" s="29">
        <v>3</v>
      </c>
      <c r="D37" s="8">
        <v>3</v>
      </c>
      <c r="E37" s="8">
        <v>3</v>
      </c>
      <c r="F37" s="8">
        <v>3</v>
      </c>
      <c r="G37" s="8">
        <v>1</v>
      </c>
      <c r="H37" s="8">
        <v>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24">
        <f t="shared" si="20"/>
        <v>1</v>
      </c>
      <c r="R37" s="24">
        <f t="shared" si="21"/>
        <v>1</v>
      </c>
      <c r="S37" s="29">
        <v>3</v>
      </c>
      <c r="T37" s="8">
        <v>3</v>
      </c>
      <c r="U37" s="24">
        <f t="shared" si="22"/>
        <v>1</v>
      </c>
      <c r="V37" s="24">
        <f t="shared" si="23"/>
        <v>1</v>
      </c>
      <c r="W37" s="29">
        <v>2</v>
      </c>
      <c r="X37" s="8">
        <v>2</v>
      </c>
      <c r="Y37" s="8">
        <v>0</v>
      </c>
      <c r="Z37" s="8">
        <v>0</v>
      </c>
      <c r="AA37" s="24">
        <f t="shared" si="24"/>
        <v>1</v>
      </c>
      <c r="AB37" s="24">
        <f t="shared" si="25"/>
        <v>1</v>
      </c>
      <c r="AC37" s="23">
        <f t="shared" si="26"/>
        <v>1</v>
      </c>
      <c r="AD37" s="24">
        <f t="shared" si="27"/>
        <v>1</v>
      </c>
      <c r="AE37" s="60">
        <v>5.7700000000000001E-2</v>
      </c>
      <c r="AF37" s="46">
        <f t="shared" si="28"/>
        <v>3.5640899999999871E-5</v>
      </c>
      <c r="AG37" s="66">
        <v>29</v>
      </c>
      <c r="AH37" s="50">
        <f t="shared" si="29"/>
        <v>16</v>
      </c>
    </row>
    <row r="38" spans="1:34" ht="15.75" thickBot="1" x14ac:dyDescent="0.3">
      <c r="A38" s="35"/>
      <c r="B38" s="30"/>
      <c r="C38" s="32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3"/>
      <c r="R38" s="33"/>
      <c r="S38" s="32"/>
      <c r="T38" s="30"/>
      <c r="U38" s="33"/>
      <c r="V38" s="33"/>
      <c r="W38" s="32"/>
      <c r="X38" s="30"/>
      <c r="Y38" s="30"/>
      <c r="Z38" s="30"/>
      <c r="AA38" s="33"/>
      <c r="AB38" s="33"/>
      <c r="AC38" s="36">
        <f>AVERAGE(AC28:AC37)</f>
        <v>1</v>
      </c>
      <c r="AD38" s="37">
        <f>AVERAGE(AD28:AD37)</f>
        <v>1</v>
      </c>
      <c r="AE38" s="61">
        <f>AVERAGE(AE28:AE37)</f>
        <v>6.366999999999999E-2</v>
      </c>
      <c r="AF38" s="41">
        <f>SQRT(AVERAGE(AF28:AF37))</f>
        <v>5.2230355158662265E-3</v>
      </c>
      <c r="AG38" s="67">
        <f>AVERAGE(AG28:AG37)</f>
        <v>33</v>
      </c>
      <c r="AH38" s="42">
        <f>SQRT(AVERAGE(AH28:AH37))</f>
        <v>3</v>
      </c>
    </row>
    <row r="42" spans="1:34" x14ac:dyDescent="0.25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38"/>
      <c r="K42" s="38"/>
      <c r="L42" s="38"/>
    </row>
    <row r="43" spans="1:34" x14ac:dyDescent="0.25">
      <c r="A43" s="2" t="s">
        <v>15</v>
      </c>
      <c r="B43" s="3" t="s">
        <v>0</v>
      </c>
      <c r="C43" s="14" t="s">
        <v>29</v>
      </c>
      <c r="D43" s="4"/>
      <c r="E43" s="4"/>
      <c r="F43" s="52" t="s">
        <v>24</v>
      </c>
      <c r="G43" s="3"/>
      <c r="H43" s="52" t="s">
        <v>25</v>
      </c>
      <c r="I43" s="3"/>
    </row>
    <row r="44" spans="1:34" x14ac:dyDescent="0.25">
      <c r="A44" s="2"/>
      <c r="B44" s="3"/>
      <c r="C44" s="52" t="s">
        <v>30</v>
      </c>
      <c r="D44" s="3" t="s">
        <v>31</v>
      </c>
      <c r="E44" s="3" t="s">
        <v>32</v>
      </c>
      <c r="F44" s="52"/>
      <c r="G44" s="3"/>
      <c r="H44" s="52"/>
      <c r="I44" s="3"/>
    </row>
    <row r="45" spans="1:34" x14ac:dyDescent="0.25">
      <c r="A45" s="6"/>
      <c r="B45" s="6"/>
      <c r="C45" s="53"/>
      <c r="D45" s="6"/>
      <c r="E45" s="6"/>
      <c r="F45" s="56" t="s">
        <v>26</v>
      </c>
      <c r="G45" s="43" t="s">
        <v>27</v>
      </c>
      <c r="H45" s="62" t="s">
        <v>26</v>
      </c>
      <c r="I45" s="47" t="s">
        <v>27</v>
      </c>
    </row>
    <row r="46" spans="1:34" ht="15.75" thickBot="1" x14ac:dyDescent="0.3">
      <c r="A46" s="30"/>
      <c r="B46" s="31"/>
      <c r="C46" s="55" t="s">
        <v>33</v>
      </c>
      <c r="D46" s="51">
        <v>13</v>
      </c>
      <c r="E46" s="51"/>
      <c r="F46" s="32"/>
      <c r="G46" s="30"/>
      <c r="H46" s="32"/>
      <c r="I46" s="30"/>
    </row>
    <row r="47" spans="1:34" x14ac:dyDescent="0.25">
      <c r="A47" s="3" t="s">
        <v>16</v>
      </c>
      <c r="B47">
        <v>1</v>
      </c>
      <c r="C47" s="12">
        <v>0</v>
      </c>
      <c r="D47" s="10">
        <v>0</v>
      </c>
      <c r="E47" s="68">
        <v>0</v>
      </c>
      <c r="F47" s="58">
        <v>0.25590000000000002</v>
      </c>
      <c r="G47" s="59">
        <f>(F47-$F$57)^2</f>
        <v>2.926809999999998E-3</v>
      </c>
      <c r="H47" s="64">
        <v>109</v>
      </c>
      <c r="I47" s="65">
        <f>(H47-$H$57)^2</f>
        <v>795.23999999999933</v>
      </c>
    </row>
    <row r="48" spans="1:34" x14ac:dyDescent="0.25">
      <c r="A48" s="3"/>
      <c r="B48">
        <v>2</v>
      </c>
      <c r="C48" s="12">
        <v>0</v>
      </c>
      <c r="D48" s="10">
        <v>0</v>
      </c>
      <c r="E48" s="68">
        <v>0</v>
      </c>
      <c r="F48" s="58">
        <v>0.26250000000000001</v>
      </c>
      <c r="G48" s="59">
        <f t="shared" ref="G48:G51" si="30">(F48-$F$57)^2</f>
        <v>2.2562499999999987E-3</v>
      </c>
      <c r="H48" s="64">
        <v>145</v>
      </c>
      <c r="I48" s="65">
        <f t="shared" ref="I48:I56" si="31">(H48-$H$57)^2</f>
        <v>60.840000000000174</v>
      </c>
    </row>
    <row r="49" spans="1:9" x14ac:dyDescent="0.25">
      <c r="A49" s="3"/>
      <c r="B49">
        <v>3</v>
      </c>
      <c r="C49" s="12">
        <v>0</v>
      </c>
      <c r="D49" s="10">
        <v>0</v>
      </c>
      <c r="E49" s="68">
        <v>0</v>
      </c>
      <c r="F49" s="58">
        <v>0.189</v>
      </c>
      <c r="G49" s="59">
        <f t="shared" si="30"/>
        <v>1.4641E-2</v>
      </c>
      <c r="H49" s="64">
        <v>99</v>
      </c>
      <c r="I49" s="65">
        <f t="shared" si="31"/>
        <v>1459.2399999999991</v>
      </c>
    </row>
    <row r="50" spans="1:9" x14ac:dyDescent="0.25">
      <c r="A50" s="3"/>
      <c r="B50">
        <v>4</v>
      </c>
      <c r="C50" s="12">
        <v>3</v>
      </c>
      <c r="D50" s="68">
        <v>1</v>
      </c>
      <c r="E50" s="68">
        <v>1</v>
      </c>
      <c r="F50" s="58">
        <v>0.43540000000000001</v>
      </c>
      <c r="G50" s="59">
        <f t="shared" si="30"/>
        <v>1.5725160000000002E-2</v>
      </c>
      <c r="H50" s="64">
        <v>178</v>
      </c>
      <c r="I50" s="65">
        <f t="shared" si="31"/>
        <v>1664.640000000001</v>
      </c>
    </row>
    <row r="51" spans="1:9" x14ac:dyDescent="0.25">
      <c r="A51" s="3"/>
      <c r="B51">
        <v>5</v>
      </c>
      <c r="C51" s="12">
        <v>0</v>
      </c>
      <c r="D51" s="68">
        <v>1</v>
      </c>
      <c r="E51" s="68">
        <v>0</v>
      </c>
      <c r="F51" s="58">
        <v>0.39200000000000002</v>
      </c>
      <c r="G51" s="59">
        <f t="shared" si="30"/>
        <v>6.7240000000000025E-3</v>
      </c>
      <c r="H51" s="64">
        <v>152</v>
      </c>
      <c r="I51" s="65">
        <f t="shared" si="31"/>
        <v>219.04000000000033</v>
      </c>
    </row>
    <row r="52" spans="1:9" x14ac:dyDescent="0.25">
      <c r="A52" s="3"/>
      <c r="B52">
        <v>6</v>
      </c>
      <c r="C52" s="12">
        <v>0</v>
      </c>
      <c r="D52" s="68">
        <v>0</v>
      </c>
      <c r="E52" s="68">
        <v>0</v>
      </c>
      <c r="F52" s="58">
        <v>0.3145</v>
      </c>
      <c r="G52" s="59">
        <f>(F52-$F$57)^2</f>
        <v>2.0250000000000035E-5</v>
      </c>
      <c r="H52" s="64">
        <v>134</v>
      </c>
      <c r="I52" s="65">
        <f t="shared" si="31"/>
        <v>10.239999999999927</v>
      </c>
    </row>
    <row r="53" spans="1:9" x14ac:dyDescent="0.25">
      <c r="A53" s="3"/>
      <c r="B53">
        <v>7</v>
      </c>
      <c r="C53" s="12">
        <v>0</v>
      </c>
      <c r="D53" s="68">
        <v>0</v>
      </c>
      <c r="E53" s="68">
        <v>0</v>
      </c>
      <c r="F53" s="58">
        <v>0.27810000000000001</v>
      </c>
      <c r="G53" s="59">
        <f>(F53-$F$57)^2</f>
        <v>1.0176099999999989E-3</v>
      </c>
      <c r="H53" s="64">
        <v>112</v>
      </c>
      <c r="I53" s="65">
        <f t="shared" si="31"/>
        <v>635.0399999999994</v>
      </c>
    </row>
    <row r="54" spans="1:9" x14ac:dyDescent="0.25">
      <c r="A54" s="3"/>
      <c r="B54">
        <v>8</v>
      </c>
      <c r="C54" s="12">
        <v>0</v>
      </c>
      <c r="D54" s="68">
        <v>1</v>
      </c>
      <c r="E54" s="68">
        <v>0</v>
      </c>
      <c r="F54" s="58">
        <v>0.4103</v>
      </c>
      <c r="G54" s="59">
        <f>(F54-$F$57)^2</f>
        <v>1.0060090000000001E-2</v>
      </c>
      <c r="H54" s="64">
        <v>167</v>
      </c>
      <c r="I54" s="65">
        <f t="shared" si="31"/>
        <v>888.04000000000065</v>
      </c>
    </row>
    <row r="55" spans="1:9" x14ac:dyDescent="0.25">
      <c r="A55" s="3"/>
      <c r="B55">
        <v>9</v>
      </c>
      <c r="C55" s="12">
        <v>0</v>
      </c>
      <c r="D55" s="68">
        <v>0</v>
      </c>
      <c r="E55" s="68">
        <v>1</v>
      </c>
      <c r="F55" s="58">
        <v>0.2056</v>
      </c>
      <c r="G55" s="59">
        <f>(F55-$F$57)^2</f>
        <v>1.0899359999999999E-2</v>
      </c>
      <c r="H55" s="64">
        <v>85</v>
      </c>
      <c r="I55" s="65">
        <f t="shared" si="31"/>
        <v>2724.8399999999988</v>
      </c>
    </row>
    <row r="56" spans="1:9" x14ac:dyDescent="0.25">
      <c r="A56" s="6"/>
      <c r="B56" s="8">
        <v>10</v>
      </c>
      <c r="C56" s="29">
        <v>0</v>
      </c>
      <c r="D56" s="8">
        <v>0</v>
      </c>
      <c r="E56" s="8">
        <v>0</v>
      </c>
      <c r="F56" s="60">
        <v>0.35670000000000002</v>
      </c>
      <c r="G56" s="59">
        <f>(F56-$F$57)^2</f>
        <v>2.1808900000000017E-3</v>
      </c>
      <c r="H56" s="66">
        <v>191</v>
      </c>
      <c r="I56" s="65">
        <f t="shared" si="31"/>
        <v>2894.4400000000014</v>
      </c>
    </row>
    <row r="57" spans="1:9" x14ac:dyDescent="0.25">
      <c r="A57" s="9" t="s">
        <v>35</v>
      </c>
      <c r="B57" s="69"/>
      <c r="C57" s="72">
        <f>AVERAGE(C47:C56)</f>
        <v>0.3</v>
      </c>
      <c r="D57" s="73">
        <f>AVERAGE(D47:D56)</f>
        <v>0.3</v>
      </c>
      <c r="E57" s="73">
        <f>AVERAGE(E47:E56)</f>
        <v>0.2</v>
      </c>
      <c r="F57" s="72">
        <f>AVERAGE(F47:F56)</f>
        <v>0.31</v>
      </c>
      <c r="G57" s="73">
        <f>SQRT(AVERAGE(G47:G56))</f>
        <v>8.151774040047971E-2</v>
      </c>
      <c r="H57" s="74">
        <f>AVERAGE(H47:H56)</f>
        <v>137.19999999999999</v>
      </c>
      <c r="I57" s="75">
        <f>SQRT(AVERAGE(I47:I56))</f>
        <v>33.692135580874059</v>
      </c>
    </row>
    <row r="58" spans="1:9" ht="15.75" thickBot="1" x14ac:dyDescent="0.3">
      <c r="A58" s="70" t="s">
        <v>34</v>
      </c>
      <c r="B58" s="71"/>
      <c r="C58" s="61">
        <f>C57/$D$46</f>
        <v>2.3076923076923075E-2</v>
      </c>
      <c r="D58" s="41">
        <f>D57/$D$46</f>
        <v>2.3076923076923075E-2</v>
      </c>
      <c r="E58" s="41">
        <f>E57/$D$46</f>
        <v>1.5384615384615385E-2</v>
      </c>
      <c r="F58" s="54"/>
      <c r="G58" s="39"/>
      <c r="H58" s="54"/>
      <c r="I58" s="39"/>
    </row>
    <row r="59" spans="1:9" x14ac:dyDescent="0.25">
      <c r="A59" s="3" t="s">
        <v>17</v>
      </c>
      <c r="B59">
        <v>1</v>
      </c>
      <c r="C59" s="12">
        <v>0</v>
      </c>
      <c r="D59" s="10">
        <v>1</v>
      </c>
      <c r="E59" s="68">
        <v>0</v>
      </c>
      <c r="F59" s="58">
        <v>0.22689999999999999</v>
      </c>
      <c r="G59" s="59">
        <f>(F59-$F$69)^2</f>
        <v>1.8303384100000007E-2</v>
      </c>
      <c r="H59" s="64">
        <v>114</v>
      </c>
      <c r="I59" s="65">
        <f>(H59-$H$69)^2</f>
        <v>1681</v>
      </c>
    </row>
    <row r="60" spans="1:9" x14ac:dyDescent="0.25">
      <c r="A60" s="3"/>
      <c r="B60">
        <v>2</v>
      </c>
      <c r="C60" s="12">
        <v>0</v>
      </c>
      <c r="D60" s="10">
        <v>0</v>
      </c>
      <c r="E60" s="68">
        <v>0</v>
      </c>
      <c r="F60" s="58">
        <v>0.35639999999999999</v>
      </c>
      <c r="G60" s="59">
        <f t="shared" ref="G60:G68" si="32">(F60-$F$69)^2</f>
        <v>3.3524100000000203E-5</v>
      </c>
      <c r="H60" s="64">
        <v>168</v>
      </c>
      <c r="I60" s="65">
        <f t="shared" ref="I60:I68" si="33">(H60-$H$69)^2</f>
        <v>169</v>
      </c>
    </row>
    <row r="61" spans="1:9" x14ac:dyDescent="0.25">
      <c r="A61" s="3"/>
      <c r="B61">
        <v>3</v>
      </c>
      <c r="C61" s="12">
        <v>0</v>
      </c>
      <c r="D61" s="10">
        <v>0</v>
      </c>
      <c r="E61" s="68">
        <v>1</v>
      </c>
      <c r="F61" s="58">
        <v>0.45639999999999997</v>
      </c>
      <c r="G61" s="59">
        <f t="shared" si="32"/>
        <v>8.8755240999999919E-3</v>
      </c>
      <c r="H61" s="64">
        <v>168</v>
      </c>
      <c r="I61" s="65">
        <f t="shared" si="33"/>
        <v>169</v>
      </c>
    </row>
    <row r="62" spans="1:9" x14ac:dyDescent="0.25">
      <c r="A62" s="3"/>
      <c r="B62">
        <v>4</v>
      </c>
      <c r="C62" s="12">
        <v>0</v>
      </c>
      <c r="D62" s="68">
        <v>1</v>
      </c>
      <c r="E62" s="68">
        <v>1</v>
      </c>
      <c r="F62" s="58">
        <v>0.34039999999999998</v>
      </c>
      <c r="G62" s="59">
        <f t="shared" si="32"/>
        <v>4.7480410000000139E-4</v>
      </c>
      <c r="H62" s="64">
        <v>135</v>
      </c>
      <c r="I62" s="65">
        <f t="shared" si="33"/>
        <v>400</v>
      </c>
    </row>
    <row r="63" spans="1:9" x14ac:dyDescent="0.25">
      <c r="A63" s="3"/>
      <c r="B63">
        <v>5</v>
      </c>
      <c r="C63" s="12">
        <v>0</v>
      </c>
      <c r="D63" s="68">
        <v>0</v>
      </c>
      <c r="E63" s="68">
        <v>1</v>
      </c>
      <c r="F63" s="58">
        <v>0.46689999999999998</v>
      </c>
      <c r="G63" s="59">
        <f t="shared" si="32"/>
        <v>1.0964184099999994E-2</v>
      </c>
      <c r="H63" s="64">
        <v>188</v>
      </c>
      <c r="I63" s="65">
        <f t="shared" si="33"/>
        <v>1089</v>
      </c>
    </row>
    <row r="64" spans="1:9" x14ac:dyDescent="0.25">
      <c r="A64" s="3"/>
      <c r="B64">
        <v>6</v>
      </c>
      <c r="C64" s="12">
        <v>0</v>
      </c>
      <c r="D64" s="68">
        <v>1</v>
      </c>
      <c r="E64" s="68">
        <v>1</v>
      </c>
      <c r="F64" s="58">
        <v>0.29820000000000002</v>
      </c>
      <c r="G64" s="59">
        <f t="shared" si="32"/>
        <v>4.0947200999999992E-3</v>
      </c>
      <c r="H64" s="64">
        <v>142</v>
      </c>
      <c r="I64" s="65">
        <f t="shared" si="33"/>
        <v>169</v>
      </c>
    </row>
    <row r="65" spans="1:9" x14ac:dyDescent="0.25">
      <c r="A65" s="3"/>
      <c r="B65">
        <v>7</v>
      </c>
      <c r="C65" s="12">
        <v>0</v>
      </c>
      <c r="D65" s="68">
        <v>1</v>
      </c>
      <c r="E65" s="68">
        <v>1</v>
      </c>
      <c r="F65" s="58">
        <v>0.41149999999999998</v>
      </c>
      <c r="G65" s="59">
        <f t="shared" si="32"/>
        <v>2.4314760999999967E-3</v>
      </c>
      <c r="H65" s="64">
        <v>176</v>
      </c>
      <c r="I65" s="65">
        <f t="shared" si="33"/>
        <v>441</v>
      </c>
    </row>
    <row r="66" spans="1:9" x14ac:dyDescent="0.25">
      <c r="A66" s="3"/>
      <c r="B66">
        <v>8</v>
      </c>
      <c r="C66" s="12">
        <v>0</v>
      </c>
      <c r="D66" s="68">
        <v>1</v>
      </c>
      <c r="E66" s="68">
        <v>1</v>
      </c>
      <c r="F66" s="58">
        <v>0.32779999999999998</v>
      </c>
      <c r="G66" s="59">
        <f t="shared" si="32"/>
        <v>1.1826721000000023E-3</v>
      </c>
      <c r="H66" s="64">
        <v>153</v>
      </c>
      <c r="I66" s="65">
        <f t="shared" si="33"/>
        <v>4</v>
      </c>
    </row>
    <row r="67" spans="1:9" x14ac:dyDescent="0.25">
      <c r="A67" s="3"/>
      <c r="B67">
        <v>9</v>
      </c>
      <c r="C67" s="12">
        <v>0</v>
      </c>
      <c r="D67" s="68">
        <v>0</v>
      </c>
      <c r="E67" s="68">
        <v>0</v>
      </c>
      <c r="F67" s="58">
        <v>0.29530000000000001</v>
      </c>
      <c r="G67" s="59">
        <f t="shared" si="32"/>
        <v>4.474272100000001E-3</v>
      </c>
      <c r="H67" s="64">
        <v>147</v>
      </c>
      <c r="I67" s="65">
        <f t="shared" si="33"/>
        <v>64</v>
      </c>
    </row>
    <row r="68" spans="1:9" x14ac:dyDescent="0.25">
      <c r="A68" s="6"/>
      <c r="B68" s="8">
        <v>10</v>
      </c>
      <c r="C68" s="29">
        <v>0</v>
      </c>
      <c r="D68" s="8">
        <v>0</v>
      </c>
      <c r="E68" s="8">
        <v>1</v>
      </c>
      <c r="F68" s="60">
        <v>0.44209999999999999</v>
      </c>
      <c r="G68" s="59">
        <f t="shared" si="32"/>
        <v>6.3856080999999971E-3</v>
      </c>
      <c r="H68" s="66">
        <v>159</v>
      </c>
      <c r="I68" s="65">
        <f t="shared" si="33"/>
        <v>16</v>
      </c>
    </row>
    <row r="69" spans="1:9" x14ac:dyDescent="0.25">
      <c r="A69" s="9" t="s">
        <v>35</v>
      </c>
      <c r="B69" s="69"/>
      <c r="C69" s="72">
        <f>AVERAGE(C59:C68)</f>
        <v>0</v>
      </c>
      <c r="D69" s="73">
        <f>AVERAGE(D59:D68)</f>
        <v>0.5</v>
      </c>
      <c r="E69" s="73">
        <f>AVERAGE(E59:E68)</f>
        <v>0.7</v>
      </c>
      <c r="F69" s="72">
        <f>AVERAGE(F59:F68)</f>
        <v>0.36219000000000001</v>
      </c>
      <c r="G69" s="73">
        <f>SQRT(AVERAGE(G59:G68))</f>
        <v>7.564401430384296E-2</v>
      </c>
      <c r="H69" s="74">
        <f>AVERAGE(H59:H68)</f>
        <v>155</v>
      </c>
      <c r="I69" s="75">
        <f>SQRT(AVERAGE(I59:I68))</f>
        <v>20.498780451529306</v>
      </c>
    </row>
    <row r="70" spans="1:9" ht="15.75" thickBot="1" x14ac:dyDescent="0.3">
      <c r="A70" s="70" t="s">
        <v>34</v>
      </c>
      <c r="B70" s="71"/>
      <c r="C70" s="61">
        <f>C69/$D$46</f>
        <v>0</v>
      </c>
      <c r="D70" s="41">
        <f>D69/$D$46</f>
        <v>3.8461538461538464E-2</v>
      </c>
      <c r="E70" s="41">
        <f>E69/$D$46</f>
        <v>5.3846153846153842E-2</v>
      </c>
      <c r="F70" s="54"/>
      <c r="G70" s="39"/>
      <c r="H70" s="54"/>
      <c r="I70" s="39"/>
    </row>
    <row r="71" spans="1:9" x14ac:dyDescent="0.25">
      <c r="A71" s="3" t="s">
        <v>18</v>
      </c>
      <c r="B71">
        <v>1</v>
      </c>
      <c r="C71" s="12">
        <v>0</v>
      </c>
      <c r="D71" s="10">
        <v>1</v>
      </c>
      <c r="E71" s="68">
        <v>0</v>
      </c>
      <c r="F71" s="58">
        <v>0.18640000000000001</v>
      </c>
      <c r="G71" s="59">
        <f>(F71-$F$81)^2</f>
        <v>4.8163600000000021E-5</v>
      </c>
      <c r="H71" s="64">
        <v>90</v>
      </c>
      <c r="I71" s="65">
        <f>(H71-$H$81)^2</f>
        <v>12.959999999999958</v>
      </c>
    </row>
    <row r="72" spans="1:9" x14ac:dyDescent="0.25">
      <c r="A72" s="3"/>
      <c r="B72">
        <v>2</v>
      </c>
      <c r="C72" s="12">
        <v>0</v>
      </c>
      <c r="D72" s="10">
        <v>1</v>
      </c>
      <c r="E72" s="68">
        <v>0</v>
      </c>
      <c r="F72" s="58">
        <v>0.18779999999999999</v>
      </c>
      <c r="G72" s="59">
        <f t="shared" ref="G72:G80" si="34">(F72-$F$81)^2</f>
        <v>3.0691600000000192E-5</v>
      </c>
      <c r="H72" s="64">
        <v>94</v>
      </c>
      <c r="I72" s="65">
        <f t="shared" ref="I72:I80" si="35">(H72-$H$81)^2</f>
        <v>0.16000000000000456</v>
      </c>
    </row>
    <row r="73" spans="1:9" x14ac:dyDescent="0.25">
      <c r="A73" s="3"/>
      <c r="B73">
        <v>3</v>
      </c>
      <c r="C73" s="12">
        <v>0</v>
      </c>
      <c r="D73" s="10">
        <v>1</v>
      </c>
      <c r="E73" s="68">
        <v>0</v>
      </c>
      <c r="F73" s="58">
        <v>0.20880000000000001</v>
      </c>
      <c r="G73" s="59">
        <f t="shared" si="34"/>
        <v>2.3901160000000003E-4</v>
      </c>
      <c r="H73" s="64">
        <v>105</v>
      </c>
      <c r="I73" s="65">
        <f t="shared" si="35"/>
        <v>129.96000000000012</v>
      </c>
    </row>
    <row r="74" spans="1:9" x14ac:dyDescent="0.25">
      <c r="A74" s="3"/>
      <c r="B74">
        <v>4</v>
      </c>
      <c r="C74" s="12">
        <v>0</v>
      </c>
      <c r="D74" s="68">
        <v>1</v>
      </c>
      <c r="E74" s="68">
        <v>0</v>
      </c>
      <c r="F74" s="58">
        <v>0.18160000000000001</v>
      </c>
      <c r="G74" s="59">
        <f t="shared" si="34"/>
        <v>1.3782760000000002E-4</v>
      </c>
      <c r="H74" s="64">
        <v>86</v>
      </c>
      <c r="I74" s="65">
        <f t="shared" si="35"/>
        <v>57.759999999999913</v>
      </c>
    </row>
    <row r="75" spans="1:9" x14ac:dyDescent="0.25">
      <c r="A75" s="3"/>
      <c r="B75">
        <v>5</v>
      </c>
      <c r="C75" s="12">
        <v>0</v>
      </c>
      <c r="D75" s="68">
        <v>1</v>
      </c>
      <c r="E75" s="68">
        <v>0</v>
      </c>
      <c r="F75" s="58">
        <v>0.19950000000000001</v>
      </c>
      <c r="G75" s="59">
        <f t="shared" si="34"/>
        <v>3.7945599999999984E-5</v>
      </c>
      <c r="H75" s="64">
        <v>91</v>
      </c>
      <c r="I75" s="65">
        <f t="shared" si="35"/>
        <v>6.7599999999999705</v>
      </c>
    </row>
    <row r="76" spans="1:9" x14ac:dyDescent="0.25">
      <c r="A76" s="3"/>
      <c r="B76">
        <v>6</v>
      </c>
      <c r="C76" s="12">
        <v>0</v>
      </c>
      <c r="D76" s="68">
        <v>1</v>
      </c>
      <c r="E76" s="68">
        <v>0</v>
      </c>
      <c r="F76" s="58">
        <v>0.2104</v>
      </c>
      <c r="G76" s="59">
        <f t="shared" si="34"/>
        <v>2.9104359999999972E-4</v>
      </c>
      <c r="H76" s="64">
        <v>98</v>
      </c>
      <c r="I76" s="65">
        <f t="shared" si="35"/>
        <v>19.360000000000049</v>
      </c>
    </row>
    <row r="77" spans="1:9" x14ac:dyDescent="0.25">
      <c r="A77" s="3"/>
      <c r="B77">
        <v>7</v>
      </c>
      <c r="C77" s="12">
        <v>0</v>
      </c>
      <c r="D77" s="68">
        <v>1</v>
      </c>
      <c r="E77" s="68">
        <v>0</v>
      </c>
      <c r="F77" s="58">
        <v>0.1749</v>
      </c>
      <c r="G77" s="59">
        <f t="shared" si="34"/>
        <v>3.4003360000000042E-4</v>
      </c>
      <c r="H77" s="64">
        <v>102</v>
      </c>
      <c r="I77" s="65">
        <f t="shared" si="35"/>
        <v>70.560000000000102</v>
      </c>
    </row>
    <row r="78" spans="1:9" x14ac:dyDescent="0.25">
      <c r="A78" s="3"/>
      <c r="B78">
        <v>8</v>
      </c>
      <c r="C78" s="12">
        <v>0</v>
      </c>
      <c r="D78" s="68">
        <v>1</v>
      </c>
      <c r="E78" s="68">
        <v>0</v>
      </c>
      <c r="F78" s="58">
        <v>0.19220000000000001</v>
      </c>
      <c r="G78" s="59">
        <f t="shared" si="34"/>
        <v>1.2996000000000049E-6</v>
      </c>
      <c r="H78" s="64">
        <v>89</v>
      </c>
      <c r="I78" s="65">
        <f t="shared" si="35"/>
        <v>21.159999999999947</v>
      </c>
    </row>
    <row r="79" spans="1:9" x14ac:dyDescent="0.25">
      <c r="A79" s="3"/>
      <c r="B79">
        <v>9</v>
      </c>
      <c r="C79" s="12">
        <v>0</v>
      </c>
      <c r="D79" s="68">
        <v>1</v>
      </c>
      <c r="E79" s="68">
        <v>0</v>
      </c>
      <c r="F79" s="58">
        <v>0.2031</v>
      </c>
      <c r="G79" s="59">
        <f t="shared" si="34"/>
        <v>9.5257599999999825E-5</v>
      </c>
      <c r="H79" s="64">
        <v>93</v>
      </c>
      <c r="I79" s="65">
        <f t="shared" si="35"/>
        <v>0.35999999999999316</v>
      </c>
    </row>
    <row r="80" spans="1:9" x14ac:dyDescent="0.25">
      <c r="A80" s="6"/>
      <c r="B80" s="8">
        <v>10</v>
      </c>
      <c r="C80" s="29">
        <v>0</v>
      </c>
      <c r="D80" s="8">
        <v>1</v>
      </c>
      <c r="E80" s="8">
        <v>0</v>
      </c>
      <c r="F80" s="60">
        <v>0.18870000000000001</v>
      </c>
      <c r="G80" s="59">
        <f t="shared" si="34"/>
        <v>2.1529600000000049E-5</v>
      </c>
      <c r="H80" s="66">
        <v>88</v>
      </c>
      <c r="I80" s="65">
        <f t="shared" si="35"/>
        <v>31.359999999999935</v>
      </c>
    </row>
    <row r="81" spans="1:9" x14ac:dyDescent="0.25">
      <c r="A81" s="9" t="s">
        <v>35</v>
      </c>
      <c r="B81" s="69"/>
      <c r="C81" s="72">
        <f>AVERAGE(C71:C80)</f>
        <v>0</v>
      </c>
      <c r="D81" s="73">
        <f>AVERAGE(D71:D80)</f>
        <v>1</v>
      </c>
      <c r="E81" s="73">
        <f>AVERAGE(E71:E80)</f>
        <v>0</v>
      </c>
      <c r="F81" s="72">
        <f>AVERAGE(F71:F80)</f>
        <v>0.19334000000000001</v>
      </c>
      <c r="G81" s="73">
        <f>SQRT(AVERAGE(G71:G80))</f>
        <v>1.1148111947769454E-2</v>
      </c>
      <c r="H81" s="74">
        <f>AVERAGE(H71:H80)</f>
        <v>93.6</v>
      </c>
      <c r="I81" s="75">
        <f>SQRT(AVERAGE(I71:I80))</f>
        <v>5.9194594347794975</v>
      </c>
    </row>
    <row r="82" spans="1:9" ht="15.75" thickBot="1" x14ac:dyDescent="0.3">
      <c r="A82" s="70" t="s">
        <v>34</v>
      </c>
      <c r="B82" s="71"/>
      <c r="C82" s="61">
        <f>C81/$D$46</f>
        <v>0</v>
      </c>
      <c r="D82" s="41">
        <f>D81/$D$46</f>
        <v>7.6923076923076927E-2</v>
      </c>
      <c r="E82" s="41">
        <f>E81/$D$46</f>
        <v>0</v>
      </c>
      <c r="F82" s="54"/>
      <c r="G82" s="39"/>
      <c r="H82" s="54"/>
      <c r="I82" s="39"/>
    </row>
  </sheetData>
  <mergeCells count="45">
    <mergeCell ref="A71:A80"/>
    <mergeCell ref="A81:B81"/>
    <mergeCell ref="A82:B82"/>
    <mergeCell ref="E44:E45"/>
    <mergeCell ref="D46:E46"/>
    <mergeCell ref="A57:B57"/>
    <mergeCell ref="C43:E43"/>
    <mergeCell ref="F43:G44"/>
    <mergeCell ref="H43:I44"/>
    <mergeCell ref="C44:C45"/>
    <mergeCell ref="D44:D45"/>
    <mergeCell ref="AG2:AH3"/>
    <mergeCell ref="A43:A45"/>
    <mergeCell ref="B43:B45"/>
    <mergeCell ref="A47:A56"/>
    <mergeCell ref="A59:A68"/>
    <mergeCell ref="A58:B58"/>
    <mergeCell ref="A42:I42"/>
    <mergeCell ref="A69:B69"/>
    <mergeCell ref="A70:B70"/>
    <mergeCell ref="AB3:AB4"/>
    <mergeCell ref="AC2:AC4"/>
    <mergeCell ref="AD2:AD4"/>
    <mergeCell ref="A28:A37"/>
    <mergeCell ref="A1:AH1"/>
    <mergeCell ref="AE2:AF3"/>
    <mergeCell ref="A6:A15"/>
    <mergeCell ref="A17:A26"/>
    <mergeCell ref="C2:R2"/>
    <mergeCell ref="Q3:Q4"/>
    <mergeCell ref="R3:R4"/>
    <mergeCell ref="B2:B4"/>
    <mergeCell ref="W3:X3"/>
    <mergeCell ref="Y3:Z3"/>
    <mergeCell ref="A2:A4"/>
    <mergeCell ref="S2:V3"/>
    <mergeCell ref="W2:AB2"/>
    <mergeCell ref="AA3:AA4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BF53-EC83-4050-8F44-00C0CF7C9668}">
  <dimension ref="A1:AH82"/>
  <sheetViews>
    <sheetView workbookViewId="0">
      <selection activeCell="N58" sqref="N58"/>
    </sheetView>
  </sheetViews>
  <sheetFormatPr defaultRowHeight="15" x14ac:dyDescent="0.25"/>
  <cols>
    <col min="3" max="3" width="9.140625" style="10"/>
    <col min="17" max="18" width="9.140625" style="20"/>
    <col min="19" max="19" width="9.140625" style="10"/>
    <col min="21" max="22" width="9.140625" style="20"/>
    <col min="23" max="23" width="9.140625" style="10"/>
    <col min="27" max="28" width="9.140625" style="20"/>
    <col min="29" max="29" width="9.140625" style="19"/>
    <col min="30" max="30" width="9.140625" style="20"/>
    <col min="31" max="31" width="9.140625" style="45"/>
    <col min="32" max="32" width="9.140625" style="40" customWidth="1"/>
    <col min="33" max="34" width="9.140625" style="49"/>
  </cols>
  <sheetData>
    <row r="1" spans="1:34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15</v>
      </c>
      <c r="B2" s="3" t="s">
        <v>0</v>
      </c>
      <c r="C2" s="14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5"/>
      <c r="S2" s="13" t="s">
        <v>12</v>
      </c>
      <c r="T2" s="5"/>
      <c r="U2" s="5"/>
      <c r="V2" s="16"/>
      <c r="W2" s="14" t="s">
        <v>13</v>
      </c>
      <c r="X2" s="4"/>
      <c r="Y2" s="4"/>
      <c r="Z2" s="4"/>
      <c r="AA2" s="4"/>
      <c r="AB2" s="4"/>
      <c r="AC2" s="25" t="s">
        <v>21</v>
      </c>
      <c r="AD2" s="26" t="s">
        <v>22</v>
      </c>
      <c r="AE2" s="52" t="s">
        <v>24</v>
      </c>
      <c r="AF2" s="3"/>
      <c r="AG2" s="52" t="s">
        <v>25</v>
      </c>
      <c r="AH2" s="3"/>
    </row>
    <row r="3" spans="1:34" x14ac:dyDescent="0.25">
      <c r="A3" s="2"/>
      <c r="B3" s="3"/>
      <c r="C3" s="14" t="s">
        <v>2</v>
      </c>
      <c r="D3" s="4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4" t="s">
        <v>1</v>
      </c>
      <c r="P3" s="4"/>
      <c r="Q3" s="17" t="s">
        <v>19</v>
      </c>
      <c r="R3" s="17" t="s">
        <v>20</v>
      </c>
      <c r="S3" s="13"/>
      <c r="T3" s="5"/>
      <c r="U3" s="5"/>
      <c r="V3" s="16"/>
      <c r="W3" s="14" t="s">
        <v>4</v>
      </c>
      <c r="X3" s="4"/>
      <c r="Y3" s="4" t="s">
        <v>14</v>
      </c>
      <c r="Z3" s="4"/>
      <c r="AA3" s="17" t="s">
        <v>19</v>
      </c>
      <c r="AB3" s="17" t="s">
        <v>20</v>
      </c>
      <c r="AC3" s="25"/>
      <c r="AD3" s="26"/>
      <c r="AE3" s="52"/>
      <c r="AF3" s="3"/>
      <c r="AG3" s="52"/>
      <c r="AH3" s="3"/>
    </row>
    <row r="4" spans="1:34" x14ac:dyDescent="0.25">
      <c r="A4" s="6"/>
      <c r="B4" s="6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  <c r="K4" s="7" t="s">
        <v>8</v>
      </c>
      <c r="L4" s="7" t="s">
        <v>9</v>
      </c>
      <c r="M4" s="7" t="s">
        <v>8</v>
      </c>
      <c r="N4" s="7" t="s">
        <v>9</v>
      </c>
      <c r="O4" s="7" t="s">
        <v>8</v>
      </c>
      <c r="P4" s="7" t="s">
        <v>9</v>
      </c>
      <c r="Q4" s="18"/>
      <c r="R4" s="18"/>
      <c r="S4" s="11" t="s">
        <v>8</v>
      </c>
      <c r="T4" s="7" t="s">
        <v>9</v>
      </c>
      <c r="U4" s="21" t="s">
        <v>19</v>
      </c>
      <c r="V4" s="21" t="s">
        <v>20</v>
      </c>
      <c r="W4" s="11" t="s">
        <v>8</v>
      </c>
      <c r="X4" s="7" t="s">
        <v>9</v>
      </c>
      <c r="Y4" s="7" t="s">
        <v>8</v>
      </c>
      <c r="Z4" s="7" t="s">
        <v>9</v>
      </c>
      <c r="AA4" s="18"/>
      <c r="AB4" s="18"/>
      <c r="AC4" s="27"/>
      <c r="AD4" s="28"/>
      <c r="AE4" s="56" t="s">
        <v>26</v>
      </c>
      <c r="AF4" s="43" t="s">
        <v>27</v>
      </c>
      <c r="AG4" s="62" t="s">
        <v>26</v>
      </c>
      <c r="AH4" s="47" t="s">
        <v>27</v>
      </c>
    </row>
    <row r="5" spans="1:34" ht="15.75" thickBot="1" x14ac:dyDescent="0.3">
      <c r="A5" s="30"/>
      <c r="B5" s="31" t="s">
        <v>10</v>
      </c>
      <c r="C5" s="76">
        <v>1</v>
      </c>
      <c r="D5" s="77">
        <v>1</v>
      </c>
      <c r="E5" s="77">
        <v>17</v>
      </c>
      <c r="F5" s="77">
        <v>17</v>
      </c>
      <c r="G5" s="77">
        <v>5</v>
      </c>
      <c r="H5" s="77">
        <v>5</v>
      </c>
      <c r="I5" s="77">
        <v>5</v>
      </c>
      <c r="J5" s="77">
        <v>5</v>
      </c>
      <c r="K5" s="77">
        <v>0</v>
      </c>
      <c r="L5" s="77">
        <v>0</v>
      </c>
      <c r="M5" s="77">
        <v>0</v>
      </c>
      <c r="N5" s="77">
        <v>0</v>
      </c>
      <c r="O5" s="77">
        <v>0</v>
      </c>
      <c r="P5" s="77">
        <v>0</v>
      </c>
      <c r="Q5" s="33">
        <v>1</v>
      </c>
      <c r="R5" s="33">
        <v>1</v>
      </c>
      <c r="S5" s="32">
        <v>2</v>
      </c>
      <c r="T5" s="30">
        <v>2</v>
      </c>
      <c r="U5" s="33">
        <v>1</v>
      </c>
      <c r="V5" s="33">
        <v>1</v>
      </c>
      <c r="W5" s="32">
        <v>11</v>
      </c>
      <c r="X5" s="30">
        <v>11</v>
      </c>
      <c r="Y5" s="30">
        <v>0</v>
      </c>
      <c r="Z5" s="30">
        <v>0</v>
      </c>
      <c r="AA5" s="33">
        <v>1</v>
      </c>
      <c r="AB5" s="33">
        <v>1</v>
      </c>
      <c r="AC5" s="34"/>
      <c r="AD5" s="33"/>
      <c r="AE5" s="57"/>
      <c r="AF5" s="44"/>
      <c r="AG5" s="63"/>
      <c r="AH5" s="48"/>
    </row>
    <row r="6" spans="1:34" x14ac:dyDescent="0.25">
      <c r="A6" s="3" t="s">
        <v>16</v>
      </c>
      <c r="B6">
        <v>1</v>
      </c>
      <c r="C6" s="78">
        <v>1</v>
      </c>
      <c r="D6" s="79">
        <v>1</v>
      </c>
      <c r="E6" s="79">
        <v>17</v>
      </c>
      <c r="F6" s="79">
        <v>17</v>
      </c>
      <c r="G6" s="79">
        <v>5</v>
      </c>
      <c r="H6" s="79">
        <v>5</v>
      </c>
      <c r="I6" s="79">
        <v>5</v>
      </c>
      <c r="J6" s="79">
        <v>5</v>
      </c>
      <c r="K6" s="79">
        <v>0</v>
      </c>
      <c r="L6" s="79">
        <v>0</v>
      </c>
      <c r="M6" s="79">
        <v>0</v>
      </c>
      <c r="N6" s="79">
        <v>0</v>
      </c>
      <c r="O6" s="79">
        <v>0</v>
      </c>
      <c r="P6" s="79">
        <v>0</v>
      </c>
      <c r="Q6" s="19">
        <f>(D6+F6+H6+J6+L6+N6+P6)/(C6+E6+G6+I6+K6+M6+O6)</f>
        <v>1</v>
      </c>
      <c r="R6" s="19">
        <f>(D6+F6+H6+J6+L6+N6+P6)/($D$5+$F$5+$H$5+$J$5+$L$5+$N$5+$P$5)</f>
        <v>1</v>
      </c>
      <c r="S6" s="12">
        <v>2</v>
      </c>
      <c r="T6" s="10">
        <v>2</v>
      </c>
      <c r="U6" s="19">
        <f>T6/S6</f>
        <v>1</v>
      </c>
      <c r="V6" s="19">
        <f>T6/$T$5</f>
        <v>1</v>
      </c>
      <c r="W6" s="78">
        <v>11</v>
      </c>
      <c r="X6" s="79">
        <v>11</v>
      </c>
      <c r="Y6" s="10">
        <v>0</v>
      </c>
      <c r="Z6" s="10">
        <v>0</v>
      </c>
      <c r="AA6" s="20">
        <f>IF(W6=0,1,X6/W6)*W6/(W6+Y6)+IF(Y6=0,1,Z6/Y6)*Y6/(W6+Y6)</f>
        <v>1</v>
      </c>
      <c r="AB6" s="20">
        <f>IF($X$5=0,1,X6/$X$5)*$X$5/($X$5+$Z$5)+IF($Z$5=0,1,Z6/$Z$5)*$Z$5/($X$5+$Z$5)</f>
        <v>1</v>
      </c>
      <c r="AC6" s="22">
        <f>(Q6+U6+AA6)/3</f>
        <v>1</v>
      </c>
      <c r="AD6" s="19">
        <f>(R6+V6+AB6)/3</f>
        <v>1</v>
      </c>
      <c r="AE6" s="58">
        <v>0.19109999999999999</v>
      </c>
      <c r="AF6" s="59">
        <f>(AE6-$AE$16)^2</f>
        <v>5.2693080999999982E-3</v>
      </c>
      <c r="AG6" s="78">
        <v>81</v>
      </c>
      <c r="AH6" s="65">
        <f>(AG6-$AG$16)^2</f>
        <v>750.75999999999988</v>
      </c>
    </row>
    <row r="7" spans="1:34" x14ac:dyDescent="0.25">
      <c r="A7" s="3"/>
      <c r="B7">
        <v>2</v>
      </c>
      <c r="C7" s="78">
        <v>1</v>
      </c>
      <c r="D7" s="79">
        <v>1</v>
      </c>
      <c r="E7" s="79">
        <v>17</v>
      </c>
      <c r="F7" s="79">
        <v>17</v>
      </c>
      <c r="G7" s="79">
        <v>5</v>
      </c>
      <c r="H7" s="79">
        <v>5</v>
      </c>
      <c r="I7" s="79">
        <v>5</v>
      </c>
      <c r="J7" s="79">
        <v>5</v>
      </c>
      <c r="K7" s="79">
        <v>0</v>
      </c>
      <c r="L7" s="79">
        <v>0</v>
      </c>
      <c r="M7" s="79">
        <v>0</v>
      </c>
      <c r="N7" s="79">
        <v>0</v>
      </c>
      <c r="O7" s="79">
        <v>0</v>
      </c>
      <c r="P7" s="79">
        <v>0</v>
      </c>
      <c r="Q7" s="19">
        <f t="shared" ref="Q7:Q15" si="0">(D7+F7+H7+J7+L7+N7+P7)/(C7+E7+G7+I7+K7+M7+O7)</f>
        <v>1</v>
      </c>
      <c r="R7" s="19">
        <f t="shared" ref="R7:R15" si="1">(D7+F7+H7+J7+L7+N7+P7)/($D$5+$F$5+$H$5+$J$5+$L$5+$N$5+$P$5)</f>
        <v>1</v>
      </c>
      <c r="S7" s="12">
        <v>2</v>
      </c>
      <c r="T7" s="10">
        <v>2</v>
      </c>
      <c r="U7" s="19">
        <f t="shared" ref="U7:U15" si="2">T7/S7</f>
        <v>1</v>
      </c>
      <c r="V7" s="19">
        <f t="shared" ref="V7:V15" si="3">T7/$T$5</f>
        <v>1</v>
      </c>
      <c r="W7" s="78">
        <v>11</v>
      </c>
      <c r="X7" s="79">
        <v>11</v>
      </c>
      <c r="Y7" s="10">
        <v>0</v>
      </c>
      <c r="Z7" s="10">
        <v>0</v>
      </c>
      <c r="AA7" s="20">
        <f t="shared" ref="AA7:AA15" si="4">IF(W7=0,1,X7/W7)*W7/(W7+Y7)+IF(Y7=0,1,Z7/Y7)*Y7/(W7+Y7)</f>
        <v>1</v>
      </c>
      <c r="AB7" s="20">
        <f t="shared" ref="AB7:AB15" si="5">IF($X$5=0,1,X7/$X$5)*$X$5/($X$5+$Z$5)+IF($Z$5=0,1,Z7/$Z$5)*$Z$5/($X$5+$Z$5)</f>
        <v>1</v>
      </c>
      <c r="AC7" s="22">
        <f t="shared" ref="AC7:AD15" si="6">(Q7+U7+AA7)/3</f>
        <v>1</v>
      </c>
      <c r="AD7" s="19">
        <f t="shared" si="6"/>
        <v>1</v>
      </c>
      <c r="AE7" s="58">
        <v>9.9199999999999997E-2</v>
      </c>
      <c r="AF7" s="59">
        <f t="shared" ref="AF7:AF15" si="7">(AE7-$AE$16)^2</f>
        <v>3.7287610000000032E-4</v>
      </c>
      <c r="AG7" s="78">
        <v>51</v>
      </c>
      <c r="AH7" s="65">
        <f t="shared" ref="AH7:AH15" si="8">(AG7-$AG$16)^2</f>
        <v>6.7600000000000078</v>
      </c>
    </row>
    <row r="8" spans="1:34" x14ac:dyDescent="0.25">
      <c r="A8" s="3"/>
      <c r="B8">
        <v>3</v>
      </c>
      <c r="C8" s="78">
        <v>1</v>
      </c>
      <c r="D8" s="79">
        <v>1</v>
      </c>
      <c r="E8" s="79">
        <v>17</v>
      </c>
      <c r="F8" s="79">
        <v>17</v>
      </c>
      <c r="G8" s="79">
        <v>5</v>
      </c>
      <c r="H8" s="79">
        <v>5</v>
      </c>
      <c r="I8" s="79">
        <v>5</v>
      </c>
      <c r="J8" s="79">
        <v>5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19">
        <f t="shared" si="0"/>
        <v>1</v>
      </c>
      <c r="R8" s="19">
        <f t="shared" si="1"/>
        <v>1</v>
      </c>
      <c r="S8" s="12">
        <v>2</v>
      </c>
      <c r="T8" s="10">
        <v>2</v>
      </c>
      <c r="U8" s="19">
        <f t="shared" si="2"/>
        <v>1</v>
      </c>
      <c r="V8" s="19">
        <f t="shared" si="3"/>
        <v>1</v>
      </c>
      <c r="W8" s="78">
        <v>11</v>
      </c>
      <c r="X8" s="79">
        <v>11</v>
      </c>
      <c r="Y8" s="10">
        <v>0</v>
      </c>
      <c r="Z8" s="10">
        <v>0</v>
      </c>
      <c r="AA8" s="20">
        <f t="shared" si="4"/>
        <v>1</v>
      </c>
      <c r="AB8" s="20">
        <f t="shared" si="5"/>
        <v>1</v>
      </c>
      <c r="AC8" s="22">
        <f t="shared" si="6"/>
        <v>1</v>
      </c>
      <c r="AD8" s="19">
        <f t="shared" si="6"/>
        <v>1</v>
      </c>
      <c r="AE8" s="58">
        <v>0.1186</v>
      </c>
      <c r="AF8" s="59">
        <f t="shared" si="7"/>
        <v>8.099999999998716E-9</v>
      </c>
      <c r="AG8" s="78">
        <v>59</v>
      </c>
      <c r="AH8" s="65">
        <f t="shared" si="8"/>
        <v>29.159999999999986</v>
      </c>
    </row>
    <row r="9" spans="1:34" x14ac:dyDescent="0.25">
      <c r="A9" s="3"/>
      <c r="B9">
        <v>4</v>
      </c>
      <c r="C9" s="78">
        <v>1</v>
      </c>
      <c r="D9" s="79">
        <v>1</v>
      </c>
      <c r="E9" s="79">
        <v>17</v>
      </c>
      <c r="F9" s="79">
        <v>17</v>
      </c>
      <c r="G9" s="79">
        <v>5</v>
      </c>
      <c r="H9" s="79">
        <v>5</v>
      </c>
      <c r="I9" s="79">
        <v>5</v>
      </c>
      <c r="J9" s="79">
        <v>5</v>
      </c>
      <c r="K9" s="79">
        <v>0</v>
      </c>
      <c r="L9" s="79">
        <v>0</v>
      </c>
      <c r="M9" s="79">
        <v>0</v>
      </c>
      <c r="N9" s="79">
        <v>0</v>
      </c>
      <c r="O9" s="79">
        <v>0</v>
      </c>
      <c r="P9" s="79">
        <v>0</v>
      </c>
      <c r="Q9" s="19">
        <f t="shared" si="0"/>
        <v>1</v>
      </c>
      <c r="R9" s="19">
        <f t="shared" si="1"/>
        <v>1</v>
      </c>
      <c r="S9" s="12">
        <v>2</v>
      </c>
      <c r="T9" s="10">
        <v>2</v>
      </c>
      <c r="U9" s="19">
        <f t="shared" si="2"/>
        <v>1</v>
      </c>
      <c r="V9" s="19">
        <f t="shared" si="3"/>
        <v>1</v>
      </c>
      <c r="W9" s="78">
        <v>11</v>
      </c>
      <c r="X9" s="79">
        <v>11</v>
      </c>
      <c r="Y9" s="10">
        <v>0</v>
      </c>
      <c r="Z9" s="10">
        <v>0</v>
      </c>
      <c r="AA9" s="20">
        <f t="shared" si="4"/>
        <v>1</v>
      </c>
      <c r="AB9" s="20">
        <f t="shared" si="5"/>
        <v>1</v>
      </c>
      <c r="AC9" s="22">
        <f t="shared" si="6"/>
        <v>1</v>
      </c>
      <c r="AD9" s="19">
        <f t="shared" si="6"/>
        <v>1</v>
      </c>
      <c r="AE9" s="58">
        <v>0.1115</v>
      </c>
      <c r="AF9" s="59">
        <f t="shared" si="7"/>
        <v>4.9140100000000035E-5</v>
      </c>
      <c r="AG9" s="78">
        <v>46</v>
      </c>
      <c r="AH9" s="65">
        <f t="shared" si="8"/>
        <v>57.760000000000019</v>
      </c>
    </row>
    <row r="10" spans="1:34" x14ac:dyDescent="0.25">
      <c r="A10" s="3"/>
      <c r="B10">
        <v>5</v>
      </c>
      <c r="C10" s="78">
        <v>1</v>
      </c>
      <c r="D10" s="79">
        <v>1</v>
      </c>
      <c r="E10" s="79">
        <v>17</v>
      </c>
      <c r="F10" s="79">
        <v>17</v>
      </c>
      <c r="G10" s="79">
        <v>5</v>
      </c>
      <c r="H10" s="79">
        <v>5</v>
      </c>
      <c r="I10" s="79">
        <v>5</v>
      </c>
      <c r="J10" s="79">
        <v>5</v>
      </c>
      <c r="K10" s="79">
        <v>0</v>
      </c>
      <c r="L10" s="79">
        <v>0</v>
      </c>
      <c r="M10" s="79">
        <v>0</v>
      </c>
      <c r="N10" s="79">
        <v>0</v>
      </c>
      <c r="O10" s="79">
        <v>0</v>
      </c>
      <c r="P10" s="79">
        <v>0</v>
      </c>
      <c r="Q10" s="19">
        <f t="shared" si="0"/>
        <v>1</v>
      </c>
      <c r="R10" s="19">
        <f t="shared" si="1"/>
        <v>1</v>
      </c>
      <c r="S10" s="12">
        <v>2</v>
      </c>
      <c r="T10" s="10">
        <v>2</v>
      </c>
      <c r="U10" s="19">
        <f t="shared" si="2"/>
        <v>1</v>
      </c>
      <c r="V10" s="19">
        <f t="shared" si="3"/>
        <v>1</v>
      </c>
      <c r="W10" s="78">
        <v>11</v>
      </c>
      <c r="X10" s="79">
        <v>11</v>
      </c>
      <c r="Y10" s="10">
        <v>0</v>
      </c>
      <c r="Z10" s="10">
        <v>0</v>
      </c>
      <c r="AA10" s="20">
        <f t="shared" si="4"/>
        <v>1</v>
      </c>
      <c r="AB10" s="20">
        <f t="shared" si="5"/>
        <v>1</v>
      </c>
      <c r="AC10" s="22">
        <f t="shared" si="6"/>
        <v>1</v>
      </c>
      <c r="AD10" s="19">
        <f t="shared" si="6"/>
        <v>1</v>
      </c>
      <c r="AE10" s="58">
        <v>0.1047</v>
      </c>
      <c r="AF10" s="59">
        <f t="shared" si="7"/>
        <v>1.9071610000000007E-4</v>
      </c>
      <c r="AG10" s="78">
        <v>39</v>
      </c>
      <c r="AH10" s="65">
        <f t="shared" si="8"/>
        <v>213.16000000000005</v>
      </c>
    </row>
    <row r="11" spans="1:34" x14ac:dyDescent="0.25">
      <c r="A11" s="3"/>
      <c r="B11">
        <v>6</v>
      </c>
      <c r="C11" s="78">
        <v>1</v>
      </c>
      <c r="D11" s="79">
        <v>1</v>
      </c>
      <c r="E11" s="79">
        <v>17</v>
      </c>
      <c r="F11" s="79">
        <v>17</v>
      </c>
      <c r="G11" s="79">
        <v>5</v>
      </c>
      <c r="H11" s="79">
        <v>5</v>
      </c>
      <c r="I11" s="79">
        <v>5</v>
      </c>
      <c r="J11" s="79">
        <v>5</v>
      </c>
      <c r="K11" s="79">
        <v>0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19">
        <f t="shared" si="0"/>
        <v>1</v>
      </c>
      <c r="R11" s="19">
        <f t="shared" si="1"/>
        <v>1</v>
      </c>
      <c r="S11" s="12">
        <v>2</v>
      </c>
      <c r="T11" s="10">
        <v>2</v>
      </c>
      <c r="U11" s="19">
        <f t="shared" si="2"/>
        <v>1</v>
      </c>
      <c r="V11" s="19">
        <f t="shared" si="3"/>
        <v>1</v>
      </c>
      <c r="W11" s="78">
        <v>11</v>
      </c>
      <c r="X11" s="79">
        <v>11</v>
      </c>
      <c r="Y11" s="10">
        <v>0</v>
      </c>
      <c r="Z11" s="10">
        <v>0</v>
      </c>
      <c r="AA11" s="20">
        <f t="shared" si="4"/>
        <v>1</v>
      </c>
      <c r="AB11" s="20">
        <f t="shared" si="5"/>
        <v>1</v>
      </c>
      <c r="AC11" s="22">
        <f t="shared" si="6"/>
        <v>1</v>
      </c>
      <c r="AD11" s="19">
        <f t="shared" si="6"/>
        <v>1</v>
      </c>
      <c r="AE11" s="58">
        <v>0.105</v>
      </c>
      <c r="AF11" s="59">
        <f t="shared" si="7"/>
        <v>1.8252010000000023E-4</v>
      </c>
      <c r="AG11" s="78">
        <v>45</v>
      </c>
      <c r="AH11" s="65">
        <f t="shared" si="8"/>
        <v>73.960000000000022</v>
      </c>
    </row>
    <row r="12" spans="1:34" x14ac:dyDescent="0.25">
      <c r="A12" s="3"/>
      <c r="B12">
        <v>7</v>
      </c>
      <c r="C12" s="78">
        <v>1</v>
      </c>
      <c r="D12" s="79">
        <v>1</v>
      </c>
      <c r="E12" s="79">
        <v>17</v>
      </c>
      <c r="F12" s="79">
        <v>17</v>
      </c>
      <c r="G12" s="79">
        <v>5</v>
      </c>
      <c r="H12" s="79">
        <v>5</v>
      </c>
      <c r="I12" s="79">
        <v>5</v>
      </c>
      <c r="J12" s="79">
        <v>5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19">
        <f t="shared" si="0"/>
        <v>1</v>
      </c>
      <c r="R12" s="19">
        <f t="shared" si="1"/>
        <v>1</v>
      </c>
      <c r="S12" s="12">
        <v>2</v>
      </c>
      <c r="T12" s="10">
        <v>2</v>
      </c>
      <c r="U12" s="19">
        <f t="shared" si="2"/>
        <v>1</v>
      </c>
      <c r="V12" s="19">
        <f t="shared" si="3"/>
        <v>1</v>
      </c>
      <c r="W12" s="78">
        <v>11</v>
      </c>
      <c r="X12" s="79">
        <v>11</v>
      </c>
      <c r="Y12" s="10">
        <v>0</v>
      </c>
      <c r="Z12" s="10">
        <v>0</v>
      </c>
      <c r="AA12" s="20">
        <f t="shared" si="4"/>
        <v>1</v>
      </c>
      <c r="AB12" s="20">
        <f t="shared" si="5"/>
        <v>1</v>
      </c>
      <c r="AC12" s="22">
        <f t="shared" si="6"/>
        <v>1</v>
      </c>
      <c r="AD12" s="19">
        <f t="shared" si="6"/>
        <v>1</v>
      </c>
      <c r="AE12" s="58">
        <v>0.112</v>
      </c>
      <c r="AF12" s="59">
        <f t="shared" si="7"/>
        <v>4.2380100000000025E-5</v>
      </c>
      <c r="AG12" s="78">
        <v>52</v>
      </c>
      <c r="AH12" s="65">
        <f t="shared" si="8"/>
        <v>2.5600000000000045</v>
      </c>
    </row>
    <row r="13" spans="1:34" x14ac:dyDescent="0.25">
      <c r="A13" s="3"/>
      <c r="B13">
        <v>8</v>
      </c>
      <c r="C13" s="78">
        <v>1</v>
      </c>
      <c r="D13" s="79">
        <v>1</v>
      </c>
      <c r="E13" s="79">
        <v>17</v>
      </c>
      <c r="F13" s="79">
        <v>17</v>
      </c>
      <c r="G13" s="79">
        <v>5</v>
      </c>
      <c r="H13" s="79">
        <v>5</v>
      </c>
      <c r="I13" s="79">
        <v>5</v>
      </c>
      <c r="J13" s="79">
        <v>5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19">
        <f t="shared" si="0"/>
        <v>1</v>
      </c>
      <c r="R13" s="19">
        <f t="shared" si="1"/>
        <v>1</v>
      </c>
      <c r="S13" s="12">
        <v>2</v>
      </c>
      <c r="T13" s="10">
        <v>2</v>
      </c>
      <c r="U13" s="19">
        <f t="shared" si="2"/>
        <v>1</v>
      </c>
      <c r="V13" s="19">
        <f t="shared" si="3"/>
        <v>1</v>
      </c>
      <c r="W13" s="78">
        <v>11</v>
      </c>
      <c r="X13" s="79">
        <v>11</v>
      </c>
      <c r="Y13" s="10">
        <v>0</v>
      </c>
      <c r="Z13" s="10">
        <v>0</v>
      </c>
      <c r="AA13" s="20">
        <f t="shared" si="4"/>
        <v>1</v>
      </c>
      <c r="AB13" s="20">
        <f t="shared" si="5"/>
        <v>1</v>
      </c>
      <c r="AC13" s="22">
        <f t="shared" si="6"/>
        <v>1</v>
      </c>
      <c r="AD13" s="19">
        <f t="shared" si="6"/>
        <v>1</v>
      </c>
      <c r="AE13" s="58">
        <v>0.12</v>
      </c>
      <c r="AF13" s="59">
        <f t="shared" si="7"/>
        <v>2.2200999999999743E-6</v>
      </c>
      <c r="AG13" s="78">
        <v>60</v>
      </c>
      <c r="AH13" s="65">
        <f t="shared" si="8"/>
        <v>40.95999999999998</v>
      </c>
    </row>
    <row r="14" spans="1:34" x14ac:dyDescent="0.25">
      <c r="A14" s="3"/>
      <c r="B14">
        <v>9</v>
      </c>
      <c r="C14" s="78">
        <v>1</v>
      </c>
      <c r="D14" s="79">
        <v>1</v>
      </c>
      <c r="E14" s="79">
        <v>17</v>
      </c>
      <c r="F14" s="79">
        <v>17</v>
      </c>
      <c r="G14" s="79">
        <v>5</v>
      </c>
      <c r="H14" s="79">
        <v>5</v>
      </c>
      <c r="I14" s="79">
        <v>5</v>
      </c>
      <c r="J14" s="79">
        <v>5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19">
        <f t="shared" si="0"/>
        <v>1</v>
      </c>
      <c r="R14" s="19">
        <f t="shared" si="1"/>
        <v>1</v>
      </c>
      <c r="S14" s="12">
        <v>2</v>
      </c>
      <c r="T14" s="10">
        <v>2</v>
      </c>
      <c r="U14" s="19">
        <f t="shared" si="2"/>
        <v>1</v>
      </c>
      <c r="V14" s="19">
        <f t="shared" si="3"/>
        <v>1</v>
      </c>
      <c r="W14" s="78">
        <v>11</v>
      </c>
      <c r="X14" s="79">
        <v>11</v>
      </c>
      <c r="Y14" s="10">
        <v>0</v>
      </c>
      <c r="Z14" s="10">
        <v>0</v>
      </c>
      <c r="AA14" s="20">
        <f t="shared" si="4"/>
        <v>1</v>
      </c>
      <c r="AB14" s="20">
        <f t="shared" si="5"/>
        <v>1</v>
      </c>
      <c r="AC14" s="22">
        <f t="shared" si="6"/>
        <v>1</v>
      </c>
      <c r="AD14" s="19">
        <f t="shared" si="6"/>
        <v>1</v>
      </c>
      <c r="AE14" s="58">
        <v>0.115</v>
      </c>
      <c r="AF14" s="59">
        <f t="shared" si="7"/>
        <v>1.2320099999999994E-5</v>
      </c>
      <c r="AG14" s="78">
        <v>55</v>
      </c>
      <c r="AH14" s="65">
        <f t="shared" si="8"/>
        <v>1.959999999999996</v>
      </c>
    </row>
    <row r="15" spans="1:34" x14ac:dyDescent="0.25">
      <c r="A15" s="6"/>
      <c r="B15" s="8">
        <v>10</v>
      </c>
      <c r="C15" s="80">
        <v>1</v>
      </c>
      <c r="D15" s="81">
        <v>1</v>
      </c>
      <c r="E15" s="81">
        <v>17</v>
      </c>
      <c r="F15" s="81">
        <v>17</v>
      </c>
      <c r="G15" s="81">
        <v>5</v>
      </c>
      <c r="H15" s="81">
        <v>5</v>
      </c>
      <c r="I15" s="81">
        <v>5</v>
      </c>
      <c r="J15" s="81">
        <v>5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24">
        <f t="shared" si="0"/>
        <v>1</v>
      </c>
      <c r="R15" s="24">
        <f t="shared" si="1"/>
        <v>1</v>
      </c>
      <c r="S15" s="29">
        <v>2</v>
      </c>
      <c r="T15" s="8">
        <v>2</v>
      </c>
      <c r="U15" s="24">
        <f t="shared" si="2"/>
        <v>1</v>
      </c>
      <c r="V15" s="24">
        <f t="shared" si="3"/>
        <v>1</v>
      </c>
      <c r="W15" s="80">
        <v>11</v>
      </c>
      <c r="X15" s="81">
        <v>11</v>
      </c>
      <c r="Y15" s="8">
        <v>0</v>
      </c>
      <c r="Z15" s="8">
        <v>0</v>
      </c>
      <c r="AA15" s="24">
        <f t="shared" si="4"/>
        <v>1</v>
      </c>
      <c r="AB15" s="24">
        <f t="shared" si="5"/>
        <v>1</v>
      </c>
      <c r="AC15" s="23">
        <f t="shared" si="6"/>
        <v>1</v>
      </c>
      <c r="AD15" s="24">
        <f t="shared" si="6"/>
        <v>1</v>
      </c>
      <c r="AE15" s="60">
        <v>0.108</v>
      </c>
      <c r="AF15" s="46">
        <f t="shared" si="7"/>
        <v>1.1046010000000011E-4</v>
      </c>
      <c r="AG15" s="80">
        <v>48</v>
      </c>
      <c r="AH15" s="50">
        <f t="shared" si="8"/>
        <v>31.360000000000017</v>
      </c>
    </row>
    <row r="16" spans="1:34" ht="15.75" thickBot="1" x14ac:dyDescent="0.3">
      <c r="A16" s="35"/>
      <c r="B16" s="30"/>
      <c r="C16" s="32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3"/>
      <c r="R16" s="33"/>
      <c r="S16" s="32"/>
      <c r="T16" s="30"/>
      <c r="U16" s="33"/>
      <c r="V16" s="33"/>
      <c r="W16" s="32"/>
      <c r="X16" s="30"/>
      <c r="Y16" s="30"/>
      <c r="Z16" s="30"/>
      <c r="AA16" s="33"/>
      <c r="AB16" s="33"/>
      <c r="AC16" s="36">
        <f>AVERAGE(AC6:AC15)</f>
        <v>1</v>
      </c>
      <c r="AD16" s="37">
        <f>AVERAGE(AD6:AD15)</f>
        <v>1</v>
      </c>
      <c r="AE16" s="61">
        <f>AVERAGE(AE6:AE15)</f>
        <v>0.11851</v>
      </c>
      <c r="AF16" s="41">
        <f>SQRT(AVERAGE(AF6:AF15))</f>
        <v>2.496387189520087E-2</v>
      </c>
      <c r="AG16" s="67">
        <f>AVERAGE(AG6:AG15)</f>
        <v>53.6</v>
      </c>
      <c r="AH16" s="42">
        <f>SQRT(AVERAGE(AH6:AH15))</f>
        <v>10.992724866929036</v>
      </c>
    </row>
    <row r="17" spans="1:34" x14ac:dyDescent="0.25">
      <c r="A17" s="3" t="s">
        <v>17</v>
      </c>
      <c r="B17">
        <v>1</v>
      </c>
      <c r="C17" s="78">
        <v>1</v>
      </c>
      <c r="D17" s="79">
        <v>1</v>
      </c>
      <c r="E17" s="79">
        <v>17</v>
      </c>
      <c r="F17" s="79">
        <v>17</v>
      </c>
      <c r="G17" s="79">
        <v>5</v>
      </c>
      <c r="H17" s="79">
        <v>5</v>
      </c>
      <c r="I17" s="79">
        <v>5</v>
      </c>
      <c r="J17" s="79">
        <v>5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19">
        <f>(D17+F17+H17+J17+L17+N17+P17)/(C17+E17+G17+I17+K17+M17+O17)</f>
        <v>1</v>
      </c>
      <c r="R17" s="19">
        <f>(D17+F17+H17+J17+L17+N17+P17)/($D$5+$F$5+$H$5+$J$5+$L$5+$N$5+$P$5)</f>
        <v>1</v>
      </c>
      <c r="S17" s="12">
        <v>2</v>
      </c>
      <c r="T17" s="10">
        <v>2</v>
      </c>
      <c r="U17" s="19">
        <f>T17/S17</f>
        <v>1</v>
      </c>
      <c r="V17" s="19">
        <f>T17/$T$5</f>
        <v>1</v>
      </c>
      <c r="W17" s="78">
        <v>11</v>
      </c>
      <c r="X17" s="79">
        <v>11</v>
      </c>
      <c r="Y17" s="10">
        <v>0</v>
      </c>
      <c r="Z17" s="10">
        <v>0</v>
      </c>
      <c r="AA17" s="20">
        <f>IF(W17=0,1,X17/W17)*W17/(W17+Y17)+IF(Y17=0,1,Z17/Y17)*Y17/(W17+Y17)</f>
        <v>1</v>
      </c>
      <c r="AB17" s="20">
        <f>IF($X$5=0,1,X17/$X$5)*$X$5/($X$5+$Z$5)+IF($Z$5=0,1,Z17/$Z$5)*$Z$5/($X$5+$Z$5)</f>
        <v>1</v>
      </c>
      <c r="AC17" s="22">
        <f>(Q17+U17+AA17)/3</f>
        <v>1</v>
      </c>
      <c r="AD17" s="19">
        <f>(R17+V17+AB17)/3</f>
        <v>1</v>
      </c>
      <c r="AE17" s="58">
        <v>0.15409999999999999</v>
      </c>
      <c r="AF17" s="59">
        <f>(AE17-$AE$27)^2</f>
        <v>1.0830680999999996E-3</v>
      </c>
      <c r="AG17" s="78">
        <v>69</v>
      </c>
      <c r="AH17" s="65">
        <f>(AG17-$AG$27)^2</f>
        <v>4.4099999999999762</v>
      </c>
    </row>
    <row r="18" spans="1:34" x14ac:dyDescent="0.25">
      <c r="A18" s="3"/>
      <c r="B18">
        <v>2</v>
      </c>
      <c r="C18" s="78">
        <v>1</v>
      </c>
      <c r="D18" s="79">
        <v>1</v>
      </c>
      <c r="E18" s="79">
        <v>17</v>
      </c>
      <c r="F18" s="79">
        <v>17</v>
      </c>
      <c r="G18" s="79">
        <v>5</v>
      </c>
      <c r="H18" s="79">
        <v>5</v>
      </c>
      <c r="I18" s="79">
        <v>5</v>
      </c>
      <c r="J18" s="79">
        <v>5</v>
      </c>
      <c r="K18" s="79">
        <v>0</v>
      </c>
      <c r="L18" s="79">
        <v>0</v>
      </c>
      <c r="M18" s="79">
        <v>0</v>
      </c>
      <c r="N18" s="79">
        <v>0</v>
      </c>
      <c r="O18" s="79">
        <v>0</v>
      </c>
      <c r="P18" s="79">
        <v>0</v>
      </c>
      <c r="Q18" s="19">
        <f t="shared" ref="Q18:Q26" si="9">(D18+F18+H18+J18+L18+N18+P18)/(C18+E18+G18+I18+K18+M18+O18)</f>
        <v>1</v>
      </c>
      <c r="R18" s="19">
        <f t="shared" ref="R18:R26" si="10">(D18+F18+H18+J18+L18+N18+P18)/($D$5+$F$5+$H$5+$J$5+$L$5+$N$5+$P$5)</f>
        <v>1</v>
      </c>
      <c r="S18" s="12">
        <v>2</v>
      </c>
      <c r="T18" s="10">
        <v>2</v>
      </c>
      <c r="U18" s="19">
        <f t="shared" ref="U18:U26" si="11">T18/S18</f>
        <v>1</v>
      </c>
      <c r="V18" s="19">
        <f t="shared" ref="V18:V26" si="12">T18/$T$5</f>
        <v>1</v>
      </c>
      <c r="W18" s="78">
        <v>11</v>
      </c>
      <c r="X18" s="79">
        <v>11</v>
      </c>
      <c r="Y18" s="10">
        <v>0</v>
      </c>
      <c r="Z18" s="10">
        <v>0</v>
      </c>
      <c r="AA18" s="20">
        <f t="shared" ref="AA18:AA26" si="13">IF(W18=0,1,X18/W18)*W18/(W18+Y18)+IF(Y18=0,1,Z18/Y18)*Y18/(W18+Y18)</f>
        <v>1</v>
      </c>
      <c r="AB18" s="20">
        <f t="shared" ref="AB18:AB26" si="14">IF($X$5=0,1,X18/$X$5)*$X$5/($X$5+$Z$5)+IF($Z$5=0,1,Z18/$Z$5)*$Z$5/($X$5+$Z$5)</f>
        <v>1</v>
      </c>
      <c r="AC18" s="22">
        <f t="shared" ref="AC18:AD26" si="15">(Q18+U18+AA18)/3</f>
        <v>1</v>
      </c>
      <c r="AD18" s="19">
        <f t="shared" si="15"/>
        <v>1</v>
      </c>
      <c r="AE18" s="58">
        <v>0.16039999999999999</v>
      </c>
      <c r="AF18" s="59">
        <f t="shared" ref="AF18:AF26" si="16">(AE18-$AE$27)^2</f>
        <v>1.5374240999999995E-3</v>
      </c>
      <c r="AG18" s="78">
        <v>79</v>
      </c>
      <c r="AH18" s="65">
        <f t="shared" ref="AH18:AH26" si="17">(AG18-$AG$27)^2</f>
        <v>146.40999999999985</v>
      </c>
    </row>
    <row r="19" spans="1:34" x14ac:dyDescent="0.25">
      <c r="A19" s="3"/>
      <c r="B19">
        <v>3</v>
      </c>
      <c r="C19" s="78">
        <v>1</v>
      </c>
      <c r="D19" s="79">
        <v>1</v>
      </c>
      <c r="E19" s="79">
        <v>17</v>
      </c>
      <c r="F19" s="79">
        <v>17</v>
      </c>
      <c r="G19" s="79">
        <v>5</v>
      </c>
      <c r="H19" s="79">
        <v>5</v>
      </c>
      <c r="I19" s="79">
        <v>5</v>
      </c>
      <c r="J19" s="79">
        <v>5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19">
        <f t="shared" si="9"/>
        <v>1</v>
      </c>
      <c r="R19" s="19">
        <f t="shared" si="10"/>
        <v>1</v>
      </c>
      <c r="S19" s="12">
        <v>2</v>
      </c>
      <c r="T19" s="10">
        <v>2</v>
      </c>
      <c r="U19" s="19">
        <f t="shared" si="11"/>
        <v>1</v>
      </c>
      <c r="V19" s="19">
        <f t="shared" si="12"/>
        <v>1</v>
      </c>
      <c r="W19" s="78">
        <v>12</v>
      </c>
      <c r="X19" s="79">
        <v>11</v>
      </c>
      <c r="Y19" s="10">
        <v>0</v>
      </c>
      <c r="Z19" s="10">
        <v>0</v>
      </c>
      <c r="AA19" s="20">
        <f t="shared" si="13"/>
        <v>0.91666666666666663</v>
      </c>
      <c r="AB19" s="20">
        <f t="shared" si="14"/>
        <v>1</v>
      </c>
      <c r="AC19" s="22">
        <f t="shared" si="15"/>
        <v>0.97222222222222221</v>
      </c>
      <c r="AD19" s="19">
        <f t="shared" si="15"/>
        <v>1</v>
      </c>
      <c r="AE19" s="58">
        <v>9.8199999999999996E-2</v>
      </c>
      <c r="AF19" s="59">
        <f t="shared" si="16"/>
        <v>5.2854009999999979E-4</v>
      </c>
      <c r="AG19" s="78">
        <v>54</v>
      </c>
      <c r="AH19" s="65">
        <f t="shared" si="17"/>
        <v>166.41000000000014</v>
      </c>
    </row>
    <row r="20" spans="1:34" x14ac:dyDescent="0.25">
      <c r="A20" s="3"/>
      <c r="B20">
        <v>4</v>
      </c>
      <c r="C20" s="78">
        <v>1</v>
      </c>
      <c r="D20" s="79">
        <v>1</v>
      </c>
      <c r="E20" s="79">
        <v>17</v>
      </c>
      <c r="F20" s="79">
        <v>17</v>
      </c>
      <c r="G20" s="79">
        <v>5</v>
      </c>
      <c r="H20" s="79">
        <v>5</v>
      </c>
      <c r="I20" s="79">
        <v>5</v>
      </c>
      <c r="J20" s="79">
        <v>5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19">
        <f t="shared" si="9"/>
        <v>1</v>
      </c>
      <c r="R20" s="19">
        <f t="shared" si="10"/>
        <v>1</v>
      </c>
      <c r="S20" s="12">
        <v>2</v>
      </c>
      <c r="T20" s="10">
        <v>2</v>
      </c>
      <c r="U20" s="19">
        <f t="shared" si="11"/>
        <v>1</v>
      </c>
      <c r="V20" s="19">
        <f t="shared" si="12"/>
        <v>1</v>
      </c>
      <c r="W20" s="78">
        <v>11</v>
      </c>
      <c r="X20" s="79">
        <v>11</v>
      </c>
      <c r="Y20" s="10">
        <v>0</v>
      </c>
      <c r="Z20" s="10">
        <v>0</v>
      </c>
      <c r="AA20" s="20">
        <f t="shared" si="13"/>
        <v>1</v>
      </c>
      <c r="AB20" s="20">
        <f t="shared" si="14"/>
        <v>1</v>
      </c>
      <c r="AC20" s="22">
        <f t="shared" si="15"/>
        <v>1</v>
      </c>
      <c r="AD20" s="19">
        <f t="shared" si="15"/>
        <v>1</v>
      </c>
      <c r="AE20" s="58">
        <v>0.11459999999999999</v>
      </c>
      <c r="AF20" s="59">
        <f t="shared" si="16"/>
        <v>4.3428099999999985E-5</v>
      </c>
      <c r="AG20" s="78">
        <v>77</v>
      </c>
      <c r="AH20" s="65">
        <f t="shared" si="17"/>
        <v>102.00999999999989</v>
      </c>
    </row>
    <row r="21" spans="1:34" x14ac:dyDescent="0.25">
      <c r="A21" s="3"/>
      <c r="B21">
        <v>5</v>
      </c>
      <c r="C21" s="78">
        <v>1</v>
      </c>
      <c r="D21" s="79">
        <v>1</v>
      </c>
      <c r="E21" s="79">
        <v>17</v>
      </c>
      <c r="F21" s="79">
        <v>17</v>
      </c>
      <c r="G21" s="79">
        <v>5</v>
      </c>
      <c r="H21" s="79">
        <v>5</v>
      </c>
      <c r="I21" s="79">
        <v>5</v>
      </c>
      <c r="J21" s="79">
        <v>5</v>
      </c>
      <c r="K21" s="79">
        <v>0</v>
      </c>
      <c r="L21" s="79">
        <v>0</v>
      </c>
      <c r="M21" s="79">
        <v>0</v>
      </c>
      <c r="N21" s="79">
        <v>0</v>
      </c>
      <c r="O21" s="79">
        <v>0</v>
      </c>
      <c r="P21" s="79">
        <v>0</v>
      </c>
      <c r="Q21" s="19">
        <f t="shared" si="9"/>
        <v>1</v>
      </c>
      <c r="R21" s="19">
        <f t="shared" si="10"/>
        <v>1</v>
      </c>
      <c r="S21" s="12">
        <v>2</v>
      </c>
      <c r="T21" s="10">
        <v>2</v>
      </c>
      <c r="U21" s="19">
        <f t="shared" si="11"/>
        <v>1</v>
      </c>
      <c r="V21" s="19">
        <f t="shared" si="12"/>
        <v>1</v>
      </c>
      <c r="W21" s="78">
        <v>11</v>
      </c>
      <c r="X21" s="79">
        <v>11</v>
      </c>
      <c r="Y21" s="10">
        <v>0</v>
      </c>
      <c r="Z21" s="10">
        <v>0</v>
      </c>
      <c r="AA21" s="20">
        <f t="shared" si="13"/>
        <v>1</v>
      </c>
      <c r="AB21" s="20">
        <f t="shared" si="14"/>
        <v>1</v>
      </c>
      <c r="AC21" s="22">
        <f t="shared" si="15"/>
        <v>1</v>
      </c>
      <c r="AD21" s="19">
        <f t="shared" si="15"/>
        <v>1</v>
      </c>
      <c r="AE21" s="58">
        <v>9.9599999999999994E-2</v>
      </c>
      <c r="AF21" s="59">
        <f t="shared" si="16"/>
        <v>4.6612809999999993E-4</v>
      </c>
      <c r="AG21" s="78">
        <v>58</v>
      </c>
      <c r="AH21" s="65">
        <f t="shared" si="17"/>
        <v>79.210000000000107</v>
      </c>
    </row>
    <row r="22" spans="1:34" x14ac:dyDescent="0.25">
      <c r="A22" s="3"/>
      <c r="B22">
        <v>6</v>
      </c>
      <c r="C22" s="78">
        <v>1</v>
      </c>
      <c r="D22" s="79">
        <v>1</v>
      </c>
      <c r="E22" s="79">
        <v>17</v>
      </c>
      <c r="F22" s="79">
        <v>17</v>
      </c>
      <c r="G22" s="79">
        <v>5</v>
      </c>
      <c r="H22" s="79">
        <v>5</v>
      </c>
      <c r="I22" s="79">
        <v>5</v>
      </c>
      <c r="J22" s="79">
        <v>5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19">
        <f t="shared" si="9"/>
        <v>1</v>
      </c>
      <c r="R22" s="19">
        <f t="shared" si="10"/>
        <v>1</v>
      </c>
      <c r="S22" s="12">
        <v>2</v>
      </c>
      <c r="T22" s="10">
        <v>2</v>
      </c>
      <c r="U22" s="19">
        <f t="shared" si="11"/>
        <v>1</v>
      </c>
      <c r="V22" s="19">
        <f t="shared" si="12"/>
        <v>1</v>
      </c>
      <c r="W22" s="78">
        <v>11</v>
      </c>
      <c r="X22" s="79">
        <v>11</v>
      </c>
      <c r="Y22" s="10">
        <v>0</v>
      </c>
      <c r="Z22" s="10">
        <v>0</v>
      </c>
      <c r="AA22" s="20">
        <f t="shared" si="13"/>
        <v>1</v>
      </c>
      <c r="AB22" s="20">
        <f t="shared" si="14"/>
        <v>1</v>
      </c>
      <c r="AC22" s="22">
        <f t="shared" si="15"/>
        <v>1</v>
      </c>
      <c r="AD22" s="19">
        <f t="shared" si="15"/>
        <v>1</v>
      </c>
      <c r="AE22" s="58">
        <v>0.11</v>
      </c>
      <c r="AF22" s="59">
        <f t="shared" si="16"/>
        <v>1.2521609999999981E-4</v>
      </c>
      <c r="AG22" s="78">
        <v>65</v>
      </c>
      <c r="AH22" s="65">
        <f t="shared" si="17"/>
        <v>3.6100000000000216</v>
      </c>
    </row>
    <row r="23" spans="1:34" x14ac:dyDescent="0.25">
      <c r="A23" s="3"/>
      <c r="B23">
        <v>7</v>
      </c>
      <c r="C23" s="78">
        <v>1</v>
      </c>
      <c r="D23" s="79">
        <v>1</v>
      </c>
      <c r="E23" s="79">
        <v>17</v>
      </c>
      <c r="F23" s="79">
        <v>17</v>
      </c>
      <c r="G23" s="79">
        <v>5</v>
      </c>
      <c r="H23" s="79">
        <v>5</v>
      </c>
      <c r="I23" s="79">
        <v>5</v>
      </c>
      <c r="J23" s="79">
        <v>5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19">
        <f t="shared" si="9"/>
        <v>1</v>
      </c>
      <c r="R23" s="19">
        <f t="shared" si="10"/>
        <v>1</v>
      </c>
      <c r="S23" s="12">
        <v>2</v>
      </c>
      <c r="T23" s="10">
        <v>2</v>
      </c>
      <c r="U23" s="19">
        <f t="shared" si="11"/>
        <v>1</v>
      </c>
      <c r="V23" s="19">
        <f t="shared" si="12"/>
        <v>1</v>
      </c>
      <c r="W23" s="78">
        <v>11</v>
      </c>
      <c r="X23" s="79">
        <v>11</v>
      </c>
      <c r="Y23" s="10">
        <v>0</v>
      </c>
      <c r="Z23" s="10">
        <v>0</v>
      </c>
      <c r="AA23" s="20">
        <f t="shared" si="13"/>
        <v>1</v>
      </c>
      <c r="AB23" s="20">
        <f t="shared" si="14"/>
        <v>1</v>
      </c>
      <c r="AC23" s="22">
        <f t="shared" si="15"/>
        <v>1</v>
      </c>
      <c r="AD23" s="19">
        <f t="shared" si="15"/>
        <v>1</v>
      </c>
      <c r="AE23" s="58">
        <v>0.125</v>
      </c>
      <c r="AF23" s="59">
        <f t="shared" si="16"/>
        <v>1.4516100000000059E-5</v>
      </c>
      <c r="AG23" s="78">
        <v>70</v>
      </c>
      <c r="AH23" s="65">
        <f t="shared" si="17"/>
        <v>9.6099999999999639</v>
      </c>
    </row>
    <row r="24" spans="1:34" x14ac:dyDescent="0.25">
      <c r="A24" s="3"/>
      <c r="B24">
        <v>8</v>
      </c>
      <c r="C24" s="78">
        <v>1</v>
      </c>
      <c r="D24" s="79">
        <v>1</v>
      </c>
      <c r="E24" s="79">
        <v>17</v>
      </c>
      <c r="F24" s="79">
        <v>17</v>
      </c>
      <c r="G24" s="79">
        <v>5</v>
      </c>
      <c r="H24" s="79">
        <v>5</v>
      </c>
      <c r="I24" s="79">
        <v>5</v>
      </c>
      <c r="J24" s="79">
        <v>5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19">
        <f t="shared" si="9"/>
        <v>1</v>
      </c>
      <c r="R24" s="19">
        <f t="shared" si="10"/>
        <v>1</v>
      </c>
      <c r="S24" s="12">
        <v>2</v>
      </c>
      <c r="T24" s="10">
        <v>2</v>
      </c>
      <c r="U24" s="19">
        <f t="shared" si="11"/>
        <v>1</v>
      </c>
      <c r="V24" s="19">
        <f t="shared" si="12"/>
        <v>1</v>
      </c>
      <c r="W24" s="78">
        <v>11</v>
      </c>
      <c r="X24" s="79">
        <v>11</v>
      </c>
      <c r="Y24" s="10">
        <v>0</v>
      </c>
      <c r="Z24" s="10">
        <v>0</v>
      </c>
      <c r="AA24" s="20">
        <f t="shared" si="13"/>
        <v>1</v>
      </c>
      <c r="AB24" s="20">
        <f t="shared" si="14"/>
        <v>1</v>
      </c>
      <c r="AC24" s="22">
        <f t="shared" si="15"/>
        <v>1</v>
      </c>
      <c r="AD24" s="19">
        <f t="shared" si="15"/>
        <v>1</v>
      </c>
      <c r="AE24" s="58">
        <v>0.105</v>
      </c>
      <c r="AF24" s="59">
        <f t="shared" si="16"/>
        <v>2.6211609999999988E-4</v>
      </c>
      <c r="AG24" s="78">
        <v>60</v>
      </c>
      <c r="AH24" s="65">
        <f t="shared" si="17"/>
        <v>47.610000000000078</v>
      </c>
    </row>
    <row r="25" spans="1:34" x14ac:dyDescent="0.25">
      <c r="A25" s="3"/>
      <c r="B25">
        <v>9</v>
      </c>
      <c r="C25" s="78">
        <v>1</v>
      </c>
      <c r="D25" s="79">
        <v>1</v>
      </c>
      <c r="E25" s="79">
        <v>17</v>
      </c>
      <c r="F25" s="79">
        <v>17</v>
      </c>
      <c r="G25" s="79">
        <v>5</v>
      </c>
      <c r="H25" s="79">
        <v>5</v>
      </c>
      <c r="I25" s="79">
        <v>5</v>
      </c>
      <c r="J25" s="79">
        <v>5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19">
        <f t="shared" si="9"/>
        <v>1</v>
      </c>
      <c r="R25" s="19">
        <f t="shared" si="10"/>
        <v>1</v>
      </c>
      <c r="S25" s="12">
        <v>2</v>
      </c>
      <c r="T25" s="10">
        <v>2</v>
      </c>
      <c r="U25" s="19">
        <f t="shared" si="11"/>
        <v>1</v>
      </c>
      <c r="V25" s="19">
        <f t="shared" si="12"/>
        <v>1</v>
      </c>
      <c r="W25" s="78">
        <v>11</v>
      </c>
      <c r="X25" s="79">
        <v>11</v>
      </c>
      <c r="Y25" s="10">
        <v>0</v>
      </c>
      <c r="Z25" s="10">
        <v>0</v>
      </c>
      <c r="AA25" s="20">
        <f t="shared" si="13"/>
        <v>1</v>
      </c>
      <c r="AB25" s="20">
        <f t="shared" si="14"/>
        <v>1</v>
      </c>
      <c r="AC25" s="22">
        <f t="shared" si="15"/>
        <v>1</v>
      </c>
      <c r="AD25" s="19">
        <f t="shared" si="15"/>
        <v>1</v>
      </c>
      <c r="AE25" s="58">
        <v>0.13</v>
      </c>
      <c r="AF25" s="59">
        <f t="shared" si="16"/>
        <v>7.7616100000000221E-5</v>
      </c>
      <c r="AG25" s="78">
        <v>75</v>
      </c>
      <c r="AH25" s="65">
        <f t="shared" si="17"/>
        <v>65.609999999999914</v>
      </c>
    </row>
    <row r="26" spans="1:34" x14ac:dyDescent="0.25">
      <c r="A26" s="6"/>
      <c r="B26" s="8">
        <v>10</v>
      </c>
      <c r="C26" s="80">
        <v>1</v>
      </c>
      <c r="D26" s="81">
        <v>1</v>
      </c>
      <c r="E26" s="81">
        <v>18</v>
      </c>
      <c r="F26" s="81">
        <v>17</v>
      </c>
      <c r="G26" s="81">
        <v>5</v>
      </c>
      <c r="H26" s="81">
        <v>5</v>
      </c>
      <c r="I26" s="81">
        <v>5</v>
      </c>
      <c r="J26" s="81">
        <v>5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24">
        <f t="shared" si="9"/>
        <v>0.96551724137931039</v>
      </c>
      <c r="R26" s="24">
        <f t="shared" si="10"/>
        <v>1</v>
      </c>
      <c r="S26" s="29">
        <v>2</v>
      </c>
      <c r="T26" s="8">
        <v>2</v>
      </c>
      <c r="U26" s="24">
        <f t="shared" si="11"/>
        <v>1</v>
      </c>
      <c r="V26" s="24">
        <f t="shared" si="12"/>
        <v>1</v>
      </c>
      <c r="W26" s="80">
        <v>11</v>
      </c>
      <c r="X26" s="81">
        <v>11</v>
      </c>
      <c r="Y26" s="8">
        <v>0</v>
      </c>
      <c r="Z26" s="8">
        <v>0</v>
      </c>
      <c r="AA26" s="24">
        <f t="shared" si="13"/>
        <v>1</v>
      </c>
      <c r="AB26" s="24">
        <f t="shared" si="14"/>
        <v>1</v>
      </c>
      <c r="AC26" s="23">
        <f t="shared" si="15"/>
        <v>0.9885057471264368</v>
      </c>
      <c r="AD26" s="24">
        <f t="shared" si="15"/>
        <v>1</v>
      </c>
      <c r="AE26" s="60">
        <v>0.115</v>
      </c>
      <c r="AF26" s="46">
        <f t="shared" si="16"/>
        <v>3.8316099999999841E-5</v>
      </c>
      <c r="AG26" s="80">
        <v>62</v>
      </c>
      <c r="AH26" s="50">
        <f t="shared" si="17"/>
        <v>24.010000000000055</v>
      </c>
    </row>
    <row r="27" spans="1:34" ht="15.75" thickBot="1" x14ac:dyDescent="0.3">
      <c r="A27" s="35"/>
      <c r="B27" s="30"/>
      <c r="C27" s="32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3"/>
      <c r="R27" s="33"/>
      <c r="S27" s="32"/>
      <c r="T27" s="30"/>
      <c r="U27" s="33"/>
      <c r="V27" s="33"/>
      <c r="W27" s="32"/>
      <c r="X27" s="30"/>
      <c r="Y27" s="30"/>
      <c r="Z27" s="30"/>
      <c r="AA27" s="33"/>
      <c r="AB27" s="33"/>
      <c r="AC27" s="36">
        <f>AVERAGE(AC17:AC26)</f>
        <v>0.99607279693486583</v>
      </c>
      <c r="AD27" s="37">
        <f>AVERAGE(AD17:AD26)</f>
        <v>1</v>
      </c>
      <c r="AE27" s="61">
        <f>AVERAGE(AE17:AE26)</f>
        <v>0.12118999999999999</v>
      </c>
      <c r="AF27" s="41">
        <f>SQRT(AVERAGE(AF17:AF26))</f>
        <v>2.0436166470255614E-2</v>
      </c>
      <c r="AG27" s="67">
        <f>AVERAGE(AG17:AG26)</f>
        <v>66.900000000000006</v>
      </c>
      <c r="AH27" s="42">
        <f>SQRT(AVERAGE(AH17:AH26))</f>
        <v>8.055432949258531</v>
      </c>
    </row>
    <row r="28" spans="1:34" x14ac:dyDescent="0.25">
      <c r="A28" s="3" t="s">
        <v>18</v>
      </c>
      <c r="B28">
        <v>1</v>
      </c>
      <c r="C28" s="78">
        <v>1</v>
      </c>
      <c r="D28" s="79">
        <v>1</v>
      </c>
      <c r="E28" s="79">
        <v>17</v>
      </c>
      <c r="F28" s="79">
        <v>17</v>
      </c>
      <c r="G28" s="79">
        <v>5</v>
      </c>
      <c r="H28" s="79">
        <v>5</v>
      </c>
      <c r="I28" s="79">
        <v>5</v>
      </c>
      <c r="J28" s="79">
        <v>5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19">
        <f>(D28+F28+H28+J28+L28+N28+P28)/(C28+E28+G28+I28+K28+M28+O28)</f>
        <v>1</v>
      </c>
      <c r="R28" s="19">
        <f>(D28+F28+H28+J28+L28+N28+P28)/($D$5+$F$5+$H$5+$J$5+$L$5+$N$5+$P$5)</f>
        <v>1</v>
      </c>
      <c r="S28" s="12">
        <v>2</v>
      </c>
      <c r="T28" s="10">
        <v>2</v>
      </c>
      <c r="U28" s="19">
        <f>T28/S28</f>
        <v>1</v>
      </c>
      <c r="V28" s="19">
        <f>T28/$T$5</f>
        <v>1</v>
      </c>
      <c r="W28" s="78">
        <v>11</v>
      </c>
      <c r="X28" s="79">
        <v>11</v>
      </c>
      <c r="Y28" s="10">
        <v>0</v>
      </c>
      <c r="Z28" s="10">
        <v>0</v>
      </c>
      <c r="AA28" s="20">
        <f>IF(W28=0,1,X28/W28)*W28/(W28+Y28)+IF(Y28=0,1,Z28/Y28)*Y28/(W28+Y28)</f>
        <v>1</v>
      </c>
      <c r="AB28" s="20">
        <f>IF($X$5=0,1,X28/$X$5)*$X$5/($X$5+$Z$5)+IF($Z$5=0,1,Z28/$Z$5)*$Z$5/($X$5+$Z$5)</f>
        <v>1</v>
      </c>
      <c r="AC28" s="22">
        <f>(Q28+U28+AA28)/3</f>
        <v>1</v>
      </c>
      <c r="AD28" s="19">
        <f>(R28+V28+AB28)/3</f>
        <v>1</v>
      </c>
      <c r="AE28" s="58">
        <v>7.3300000000000004E-2</v>
      </c>
      <c r="AF28" s="59">
        <f>(AE28-$AE$38)^2</f>
        <v>1.576090000000001E-5</v>
      </c>
      <c r="AG28" s="78">
        <v>38</v>
      </c>
      <c r="AH28" s="65">
        <f>(AG28-$AG$38)^2</f>
        <v>0</v>
      </c>
    </row>
    <row r="29" spans="1:34" x14ac:dyDescent="0.25">
      <c r="A29" s="3"/>
      <c r="B29">
        <v>2</v>
      </c>
      <c r="C29" s="78">
        <v>1</v>
      </c>
      <c r="D29" s="79">
        <v>1</v>
      </c>
      <c r="E29" s="79">
        <v>17</v>
      </c>
      <c r="F29" s="79">
        <v>17</v>
      </c>
      <c r="G29" s="79">
        <v>5</v>
      </c>
      <c r="H29" s="79">
        <v>5</v>
      </c>
      <c r="I29" s="79">
        <v>5</v>
      </c>
      <c r="J29" s="79">
        <v>5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19">
        <f t="shared" ref="Q29:Q37" si="18">(D29+F29+H29+J29+L29+N29+P29)/(C29+E29+G29+I29+K29+M29+O29)</f>
        <v>1</v>
      </c>
      <c r="R29" s="19">
        <f t="shared" ref="R29:R37" si="19">(D29+F29+H29+J29+L29+N29+P29)/($D$5+$F$5+$H$5+$J$5+$L$5+$N$5+$P$5)</f>
        <v>1</v>
      </c>
      <c r="S29" s="12">
        <v>2</v>
      </c>
      <c r="T29" s="10">
        <v>2</v>
      </c>
      <c r="U29" s="19">
        <f t="shared" ref="U29:U37" si="20">T29/S29</f>
        <v>1</v>
      </c>
      <c r="V29" s="19">
        <f t="shared" ref="V29:V37" si="21">T29/$T$5</f>
        <v>1</v>
      </c>
      <c r="W29" s="78">
        <v>11</v>
      </c>
      <c r="X29" s="79">
        <v>11</v>
      </c>
      <c r="Y29" s="10">
        <v>0</v>
      </c>
      <c r="Z29" s="10">
        <v>0</v>
      </c>
      <c r="AA29" s="20">
        <f t="shared" ref="AA29:AA37" si="22">IF(W29=0,1,X29/W29)*W29/(W29+Y29)+IF(Y29=0,1,Z29/Y29)*Y29/(W29+Y29)</f>
        <v>1</v>
      </c>
      <c r="AB29" s="20">
        <f t="shared" ref="AB29:AB37" si="23">IF($X$5=0,1,X29/$X$5)*$X$5/($X$5+$Z$5)+IF($Z$5=0,1,Z29/$Z$5)*$Z$5/($X$5+$Z$5)</f>
        <v>1</v>
      </c>
      <c r="AC29" s="22">
        <f t="shared" ref="AC29:AD37" si="24">(Q29+U29+AA29)/3</f>
        <v>1</v>
      </c>
      <c r="AD29" s="19">
        <f t="shared" si="24"/>
        <v>1</v>
      </c>
      <c r="AE29" s="58">
        <v>6.4500000000000002E-2</v>
      </c>
      <c r="AF29" s="59">
        <f t="shared" ref="AF29:AF37" si="25">(AE29-$AE$38)^2</f>
        <v>2.332890000000001E-5</v>
      </c>
      <c r="AG29" s="78">
        <v>36</v>
      </c>
      <c r="AH29" s="65">
        <f t="shared" ref="AH29:AH37" si="26">(AG29-$AG$38)^2</f>
        <v>4</v>
      </c>
    </row>
    <row r="30" spans="1:34" x14ac:dyDescent="0.25">
      <c r="A30" s="3"/>
      <c r="B30">
        <v>3</v>
      </c>
      <c r="C30" s="78">
        <v>1</v>
      </c>
      <c r="D30" s="79">
        <v>1</v>
      </c>
      <c r="E30" s="79">
        <v>17</v>
      </c>
      <c r="F30" s="79">
        <v>17</v>
      </c>
      <c r="G30" s="79">
        <v>5</v>
      </c>
      <c r="H30" s="79">
        <v>5</v>
      </c>
      <c r="I30" s="79">
        <v>5</v>
      </c>
      <c r="J30" s="79">
        <v>5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19">
        <f t="shared" si="18"/>
        <v>1</v>
      </c>
      <c r="R30" s="19">
        <f t="shared" si="19"/>
        <v>1</v>
      </c>
      <c r="S30" s="12">
        <v>2</v>
      </c>
      <c r="T30" s="10">
        <v>2</v>
      </c>
      <c r="U30" s="19">
        <f t="shared" si="20"/>
        <v>1</v>
      </c>
      <c r="V30" s="19">
        <f t="shared" si="21"/>
        <v>1</v>
      </c>
      <c r="W30" s="78">
        <v>11</v>
      </c>
      <c r="X30" s="79">
        <v>11</v>
      </c>
      <c r="Y30" s="10">
        <v>0</v>
      </c>
      <c r="Z30" s="10">
        <v>0</v>
      </c>
      <c r="AA30" s="20">
        <f t="shared" si="22"/>
        <v>1</v>
      </c>
      <c r="AB30" s="20">
        <f t="shared" si="23"/>
        <v>1</v>
      </c>
      <c r="AC30" s="22">
        <f t="shared" si="24"/>
        <v>1</v>
      </c>
      <c r="AD30" s="19">
        <f t="shared" si="24"/>
        <v>1</v>
      </c>
      <c r="AE30" s="58">
        <v>7.3700000000000002E-2</v>
      </c>
      <c r="AF30" s="59">
        <f t="shared" si="25"/>
        <v>1.909689999999999E-5</v>
      </c>
      <c r="AG30" s="78">
        <v>44</v>
      </c>
      <c r="AH30" s="65">
        <f t="shared" si="26"/>
        <v>36</v>
      </c>
    </row>
    <row r="31" spans="1:34" x14ac:dyDescent="0.25">
      <c r="A31" s="3"/>
      <c r="B31">
        <v>4</v>
      </c>
      <c r="C31" s="78">
        <v>1</v>
      </c>
      <c r="D31" s="79">
        <v>1</v>
      </c>
      <c r="E31" s="79">
        <v>17</v>
      </c>
      <c r="F31" s="79">
        <v>17</v>
      </c>
      <c r="G31" s="79">
        <v>5</v>
      </c>
      <c r="H31" s="79">
        <v>5</v>
      </c>
      <c r="I31" s="79">
        <v>5</v>
      </c>
      <c r="J31" s="79">
        <v>5</v>
      </c>
      <c r="K31" s="79">
        <v>0</v>
      </c>
      <c r="L31" s="79">
        <v>0</v>
      </c>
      <c r="M31" s="79">
        <v>0</v>
      </c>
      <c r="N31" s="79">
        <v>0</v>
      </c>
      <c r="O31" s="79">
        <v>0</v>
      </c>
      <c r="P31" s="79">
        <v>0</v>
      </c>
      <c r="Q31" s="19">
        <f t="shared" si="18"/>
        <v>1</v>
      </c>
      <c r="R31" s="19">
        <f t="shared" si="19"/>
        <v>1</v>
      </c>
      <c r="S31" s="12">
        <v>2</v>
      </c>
      <c r="T31" s="10">
        <v>2</v>
      </c>
      <c r="U31" s="19">
        <f t="shared" si="20"/>
        <v>1</v>
      </c>
      <c r="V31" s="19">
        <f t="shared" si="21"/>
        <v>1</v>
      </c>
      <c r="W31" s="78">
        <v>11</v>
      </c>
      <c r="X31" s="79">
        <v>11</v>
      </c>
      <c r="Y31" s="10">
        <v>0</v>
      </c>
      <c r="Z31" s="10">
        <v>0</v>
      </c>
      <c r="AA31" s="20">
        <f t="shared" si="22"/>
        <v>1</v>
      </c>
      <c r="AB31" s="20">
        <f t="shared" si="23"/>
        <v>1</v>
      </c>
      <c r="AC31" s="22">
        <f t="shared" si="24"/>
        <v>1</v>
      </c>
      <c r="AD31" s="19">
        <f t="shared" si="24"/>
        <v>1</v>
      </c>
      <c r="AE31" s="58">
        <v>6.9800000000000001E-2</v>
      </c>
      <c r="AF31" s="59">
        <f t="shared" si="25"/>
        <v>2.2089999999999831E-7</v>
      </c>
      <c r="AG31" s="78">
        <v>37</v>
      </c>
      <c r="AH31" s="65">
        <f t="shared" si="26"/>
        <v>1</v>
      </c>
    </row>
    <row r="32" spans="1:34" x14ac:dyDescent="0.25">
      <c r="A32" s="3"/>
      <c r="B32">
        <v>5</v>
      </c>
      <c r="C32" s="78">
        <v>1</v>
      </c>
      <c r="D32" s="79">
        <v>1</v>
      </c>
      <c r="E32" s="79">
        <v>17</v>
      </c>
      <c r="F32" s="79">
        <v>17</v>
      </c>
      <c r="G32" s="79">
        <v>5</v>
      </c>
      <c r="H32" s="79">
        <v>5</v>
      </c>
      <c r="I32" s="79">
        <v>5</v>
      </c>
      <c r="J32" s="79">
        <v>5</v>
      </c>
      <c r="K32" s="79">
        <v>0</v>
      </c>
      <c r="L32" s="79">
        <v>0</v>
      </c>
      <c r="M32" s="79">
        <v>0</v>
      </c>
      <c r="N32" s="79">
        <v>0</v>
      </c>
      <c r="O32" s="79">
        <v>0</v>
      </c>
      <c r="P32" s="79">
        <v>0</v>
      </c>
      <c r="Q32" s="19">
        <f t="shared" si="18"/>
        <v>1</v>
      </c>
      <c r="R32" s="19">
        <f t="shared" si="19"/>
        <v>1</v>
      </c>
      <c r="S32" s="12">
        <v>2</v>
      </c>
      <c r="T32" s="10">
        <v>2</v>
      </c>
      <c r="U32" s="19">
        <f t="shared" si="20"/>
        <v>1</v>
      </c>
      <c r="V32" s="19">
        <f t="shared" si="21"/>
        <v>1</v>
      </c>
      <c r="W32" s="78">
        <v>11</v>
      </c>
      <c r="X32" s="79">
        <v>11</v>
      </c>
      <c r="Y32" s="10">
        <v>0</v>
      </c>
      <c r="Z32" s="10">
        <v>0</v>
      </c>
      <c r="AA32" s="20">
        <f t="shared" si="22"/>
        <v>1</v>
      </c>
      <c r="AB32" s="20">
        <f t="shared" si="23"/>
        <v>1</v>
      </c>
      <c r="AC32" s="22">
        <f t="shared" si="24"/>
        <v>1</v>
      </c>
      <c r="AD32" s="19">
        <f t="shared" si="24"/>
        <v>1</v>
      </c>
      <c r="AE32" s="58">
        <v>6.7000000000000004E-2</v>
      </c>
      <c r="AF32" s="59">
        <f t="shared" si="25"/>
        <v>5.4288999999999939E-6</v>
      </c>
      <c r="AG32" s="78">
        <v>34</v>
      </c>
      <c r="AH32" s="65">
        <f t="shared" si="26"/>
        <v>16</v>
      </c>
    </row>
    <row r="33" spans="1:34" x14ac:dyDescent="0.25">
      <c r="A33" s="3"/>
      <c r="B33">
        <v>6</v>
      </c>
      <c r="C33" s="78">
        <v>1</v>
      </c>
      <c r="D33" s="79">
        <v>1</v>
      </c>
      <c r="E33" s="79">
        <v>17</v>
      </c>
      <c r="F33" s="79">
        <v>17</v>
      </c>
      <c r="G33" s="79">
        <v>5</v>
      </c>
      <c r="H33" s="79">
        <v>5</v>
      </c>
      <c r="I33" s="79">
        <v>5</v>
      </c>
      <c r="J33" s="79">
        <v>5</v>
      </c>
      <c r="K33" s="79">
        <v>0</v>
      </c>
      <c r="L33" s="79">
        <v>0</v>
      </c>
      <c r="M33" s="79">
        <v>0</v>
      </c>
      <c r="N33" s="79">
        <v>0</v>
      </c>
      <c r="O33" s="79">
        <v>0</v>
      </c>
      <c r="P33" s="79">
        <v>0</v>
      </c>
      <c r="Q33" s="19">
        <f t="shared" si="18"/>
        <v>1</v>
      </c>
      <c r="R33" s="19">
        <f t="shared" si="19"/>
        <v>1</v>
      </c>
      <c r="S33" s="12">
        <v>2</v>
      </c>
      <c r="T33" s="10">
        <v>2</v>
      </c>
      <c r="U33" s="19">
        <f t="shared" si="20"/>
        <v>1</v>
      </c>
      <c r="V33" s="19">
        <f t="shared" si="21"/>
        <v>1</v>
      </c>
      <c r="W33" s="78">
        <v>11</v>
      </c>
      <c r="X33" s="79">
        <v>11</v>
      </c>
      <c r="Y33" s="10">
        <v>0</v>
      </c>
      <c r="Z33" s="10">
        <v>0</v>
      </c>
      <c r="AA33" s="20">
        <f t="shared" si="22"/>
        <v>1</v>
      </c>
      <c r="AB33" s="20">
        <f t="shared" si="23"/>
        <v>1</v>
      </c>
      <c r="AC33" s="22">
        <f t="shared" si="24"/>
        <v>1</v>
      </c>
      <c r="AD33" s="19">
        <f t="shared" si="24"/>
        <v>1</v>
      </c>
      <c r="AE33" s="58">
        <v>6.8000000000000005E-2</v>
      </c>
      <c r="AF33" s="59">
        <f t="shared" si="25"/>
        <v>1.7688999999999942E-6</v>
      </c>
      <c r="AG33" s="78">
        <v>35</v>
      </c>
      <c r="AH33" s="65">
        <f t="shared" si="26"/>
        <v>9</v>
      </c>
    </row>
    <row r="34" spans="1:34" x14ac:dyDescent="0.25">
      <c r="A34" s="3"/>
      <c r="B34">
        <v>7</v>
      </c>
      <c r="C34" s="78">
        <v>1</v>
      </c>
      <c r="D34" s="79">
        <v>1</v>
      </c>
      <c r="E34" s="79">
        <v>17</v>
      </c>
      <c r="F34" s="79">
        <v>17</v>
      </c>
      <c r="G34" s="79">
        <v>5</v>
      </c>
      <c r="H34" s="79">
        <v>5</v>
      </c>
      <c r="I34" s="79">
        <v>5</v>
      </c>
      <c r="J34" s="79">
        <v>5</v>
      </c>
      <c r="K34" s="79">
        <v>0</v>
      </c>
      <c r="L34" s="79">
        <v>0</v>
      </c>
      <c r="M34" s="79">
        <v>0</v>
      </c>
      <c r="N34" s="79">
        <v>0</v>
      </c>
      <c r="O34" s="79">
        <v>0</v>
      </c>
      <c r="P34" s="79">
        <v>0</v>
      </c>
      <c r="Q34" s="19">
        <f t="shared" si="18"/>
        <v>1</v>
      </c>
      <c r="R34" s="19">
        <f t="shared" si="19"/>
        <v>1</v>
      </c>
      <c r="S34" s="12">
        <v>2</v>
      </c>
      <c r="T34" s="10">
        <v>2</v>
      </c>
      <c r="U34" s="19">
        <f t="shared" si="20"/>
        <v>1</v>
      </c>
      <c r="V34" s="19">
        <f t="shared" si="21"/>
        <v>1</v>
      </c>
      <c r="W34" s="78">
        <v>11</v>
      </c>
      <c r="X34" s="79">
        <v>11</v>
      </c>
      <c r="Y34" s="10">
        <v>0</v>
      </c>
      <c r="Z34" s="10">
        <v>0</v>
      </c>
      <c r="AA34" s="20">
        <f t="shared" si="22"/>
        <v>1</v>
      </c>
      <c r="AB34" s="20">
        <f t="shared" si="23"/>
        <v>1</v>
      </c>
      <c r="AC34" s="22">
        <f t="shared" si="24"/>
        <v>1</v>
      </c>
      <c r="AD34" s="19">
        <f t="shared" si="24"/>
        <v>1</v>
      </c>
      <c r="AE34" s="58">
        <v>7.0999999999999994E-2</v>
      </c>
      <c r="AF34" s="59">
        <f t="shared" si="25"/>
        <v>2.7888999999999696E-6</v>
      </c>
      <c r="AG34" s="78">
        <v>40</v>
      </c>
      <c r="AH34" s="65">
        <f t="shared" si="26"/>
        <v>4</v>
      </c>
    </row>
    <row r="35" spans="1:34" x14ac:dyDescent="0.25">
      <c r="A35" s="3"/>
      <c r="B35">
        <v>8</v>
      </c>
      <c r="C35" s="78">
        <v>1</v>
      </c>
      <c r="D35" s="79">
        <v>1</v>
      </c>
      <c r="E35" s="79">
        <v>17</v>
      </c>
      <c r="F35" s="79">
        <v>17</v>
      </c>
      <c r="G35" s="79">
        <v>5</v>
      </c>
      <c r="H35" s="79">
        <v>5</v>
      </c>
      <c r="I35" s="79">
        <v>5</v>
      </c>
      <c r="J35" s="79">
        <v>5</v>
      </c>
      <c r="K35" s="79">
        <v>0</v>
      </c>
      <c r="L35" s="79">
        <v>0</v>
      </c>
      <c r="M35" s="79">
        <v>0</v>
      </c>
      <c r="N35" s="79">
        <v>0</v>
      </c>
      <c r="O35" s="79">
        <v>0</v>
      </c>
      <c r="P35" s="79">
        <v>0</v>
      </c>
      <c r="Q35" s="19">
        <f t="shared" si="18"/>
        <v>1</v>
      </c>
      <c r="R35" s="19">
        <f t="shared" si="19"/>
        <v>1</v>
      </c>
      <c r="S35" s="12">
        <v>2</v>
      </c>
      <c r="T35" s="10">
        <v>2</v>
      </c>
      <c r="U35" s="19">
        <f t="shared" si="20"/>
        <v>1</v>
      </c>
      <c r="V35" s="19">
        <f t="shared" si="21"/>
        <v>1</v>
      </c>
      <c r="W35" s="78">
        <v>11</v>
      </c>
      <c r="X35" s="79">
        <v>11</v>
      </c>
      <c r="Y35" s="10">
        <v>0</v>
      </c>
      <c r="Z35" s="10">
        <v>0</v>
      </c>
      <c r="AA35" s="20">
        <f t="shared" si="22"/>
        <v>1</v>
      </c>
      <c r="AB35" s="20">
        <f t="shared" si="23"/>
        <v>1</v>
      </c>
      <c r="AC35" s="22">
        <f t="shared" si="24"/>
        <v>1</v>
      </c>
      <c r="AD35" s="19">
        <f t="shared" si="24"/>
        <v>1</v>
      </c>
      <c r="AE35" s="58">
        <v>6.5000000000000002E-2</v>
      </c>
      <c r="AF35" s="59">
        <f t="shared" si="25"/>
        <v>1.8748900000000006E-5</v>
      </c>
      <c r="AG35" s="78">
        <v>39</v>
      </c>
      <c r="AH35" s="65">
        <f t="shared" si="26"/>
        <v>1</v>
      </c>
    </row>
    <row r="36" spans="1:34" x14ac:dyDescent="0.25">
      <c r="A36" s="3"/>
      <c r="B36">
        <v>9</v>
      </c>
      <c r="C36" s="78">
        <v>1</v>
      </c>
      <c r="D36" s="79">
        <v>1</v>
      </c>
      <c r="E36" s="79">
        <v>17</v>
      </c>
      <c r="F36" s="79">
        <v>17</v>
      </c>
      <c r="G36" s="79">
        <v>5</v>
      </c>
      <c r="H36" s="79">
        <v>5</v>
      </c>
      <c r="I36" s="79">
        <v>5</v>
      </c>
      <c r="J36" s="79">
        <v>5</v>
      </c>
      <c r="K36" s="79">
        <v>0</v>
      </c>
      <c r="L36" s="79">
        <v>0</v>
      </c>
      <c r="M36" s="79">
        <v>0</v>
      </c>
      <c r="N36" s="79">
        <v>0</v>
      </c>
      <c r="O36" s="79">
        <v>0</v>
      </c>
      <c r="P36" s="79">
        <v>0</v>
      </c>
      <c r="Q36" s="19">
        <f t="shared" si="18"/>
        <v>1</v>
      </c>
      <c r="R36" s="19">
        <f t="shared" si="19"/>
        <v>1</v>
      </c>
      <c r="S36" s="12">
        <v>2</v>
      </c>
      <c r="T36" s="10">
        <v>2</v>
      </c>
      <c r="U36" s="19">
        <f t="shared" si="20"/>
        <v>1</v>
      </c>
      <c r="V36" s="19">
        <f t="shared" si="21"/>
        <v>1</v>
      </c>
      <c r="W36" s="78">
        <v>11</v>
      </c>
      <c r="X36" s="79">
        <v>11</v>
      </c>
      <c r="Y36" s="10">
        <v>0</v>
      </c>
      <c r="Z36" s="10">
        <v>0</v>
      </c>
      <c r="AA36" s="20">
        <f t="shared" si="22"/>
        <v>1</v>
      </c>
      <c r="AB36" s="20">
        <f t="shared" si="23"/>
        <v>1</v>
      </c>
      <c r="AC36" s="22">
        <f t="shared" si="24"/>
        <v>1</v>
      </c>
      <c r="AD36" s="19">
        <f t="shared" si="24"/>
        <v>1</v>
      </c>
      <c r="AE36" s="58">
        <v>7.1999999999999995E-2</v>
      </c>
      <c r="AF36" s="59">
        <f t="shared" si="25"/>
        <v>7.1288999999999564E-6</v>
      </c>
      <c r="AG36" s="78">
        <v>36</v>
      </c>
      <c r="AH36" s="65">
        <f t="shared" si="26"/>
        <v>4</v>
      </c>
    </row>
    <row r="37" spans="1:34" x14ac:dyDescent="0.25">
      <c r="A37" s="6"/>
      <c r="B37" s="8">
        <v>10</v>
      </c>
      <c r="C37" s="80">
        <v>1</v>
      </c>
      <c r="D37" s="81">
        <v>1</v>
      </c>
      <c r="E37" s="81">
        <v>17</v>
      </c>
      <c r="F37" s="81">
        <v>17</v>
      </c>
      <c r="G37" s="81">
        <v>5</v>
      </c>
      <c r="H37" s="81">
        <v>5</v>
      </c>
      <c r="I37" s="81">
        <v>5</v>
      </c>
      <c r="J37" s="81">
        <v>5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81">
        <v>0</v>
      </c>
      <c r="Q37" s="24">
        <f t="shared" si="18"/>
        <v>1</v>
      </c>
      <c r="R37" s="24">
        <f t="shared" si="19"/>
        <v>1</v>
      </c>
      <c r="S37" s="29">
        <v>2</v>
      </c>
      <c r="T37" s="8">
        <v>2</v>
      </c>
      <c r="U37" s="24">
        <f t="shared" si="20"/>
        <v>1</v>
      </c>
      <c r="V37" s="24">
        <f t="shared" si="21"/>
        <v>1</v>
      </c>
      <c r="W37" s="80">
        <v>11</v>
      </c>
      <c r="X37" s="81">
        <v>11</v>
      </c>
      <c r="Y37" s="8">
        <v>0</v>
      </c>
      <c r="Z37" s="8">
        <v>0</v>
      </c>
      <c r="AA37" s="24">
        <f t="shared" si="22"/>
        <v>1</v>
      </c>
      <c r="AB37" s="24">
        <f t="shared" si="23"/>
        <v>1</v>
      </c>
      <c r="AC37" s="23">
        <f t="shared" si="24"/>
        <v>1</v>
      </c>
      <c r="AD37" s="24">
        <f t="shared" si="24"/>
        <v>1</v>
      </c>
      <c r="AE37" s="60">
        <v>6.9000000000000006E-2</v>
      </c>
      <c r="AF37" s="46">
        <f t="shared" si="25"/>
        <v>1.0889999999999799E-7</v>
      </c>
      <c r="AG37" s="80">
        <v>41</v>
      </c>
      <c r="AH37" s="50">
        <f t="shared" si="26"/>
        <v>9</v>
      </c>
    </row>
    <row r="38" spans="1:34" ht="15.75" thickBot="1" x14ac:dyDescent="0.3">
      <c r="A38" s="35"/>
      <c r="B38" s="30"/>
      <c r="C38" s="32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3"/>
      <c r="R38" s="33"/>
      <c r="S38" s="32"/>
      <c r="T38" s="30"/>
      <c r="U38" s="33"/>
      <c r="V38" s="33"/>
      <c r="W38" s="32"/>
      <c r="X38" s="30"/>
      <c r="Y38" s="30"/>
      <c r="Z38" s="30"/>
      <c r="AA38" s="33"/>
      <c r="AB38" s="33"/>
      <c r="AC38" s="36">
        <f>AVERAGE(AC28:AC37)</f>
        <v>1</v>
      </c>
      <c r="AD38" s="37">
        <f>AVERAGE(AD28:AD37)</f>
        <v>1</v>
      </c>
      <c r="AE38" s="61">
        <f>AVERAGE(AE28:AE37)</f>
        <v>6.9330000000000003E-2</v>
      </c>
      <c r="AF38" s="41">
        <f>SQRT(AVERAGE(AF28:AF37))</f>
        <v>3.0721490849241013E-3</v>
      </c>
      <c r="AG38" s="67">
        <f>AVERAGE(AG28:AG37)</f>
        <v>38</v>
      </c>
      <c r="AH38" s="42">
        <f>SQRT(AVERAGE(AH28:AH37))</f>
        <v>2.8982753492378879</v>
      </c>
    </row>
    <row r="42" spans="1:34" x14ac:dyDescent="0.25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38"/>
      <c r="K42" s="38"/>
      <c r="L42" s="38"/>
    </row>
    <row r="43" spans="1:34" x14ac:dyDescent="0.25">
      <c r="A43" s="2" t="s">
        <v>15</v>
      </c>
      <c r="B43" s="3" t="s">
        <v>0</v>
      </c>
      <c r="C43" s="14" t="s">
        <v>29</v>
      </c>
      <c r="D43" s="4"/>
      <c r="E43" s="4"/>
      <c r="F43" s="52" t="s">
        <v>24</v>
      </c>
      <c r="G43" s="3"/>
      <c r="H43" s="52" t="s">
        <v>25</v>
      </c>
      <c r="I43" s="3"/>
    </row>
    <row r="44" spans="1:34" x14ac:dyDescent="0.25">
      <c r="A44" s="2"/>
      <c r="B44" s="3"/>
      <c r="C44" s="52" t="s">
        <v>30</v>
      </c>
      <c r="D44" s="3" t="s">
        <v>31</v>
      </c>
      <c r="E44" s="3" t="s">
        <v>32</v>
      </c>
      <c r="F44" s="52"/>
      <c r="G44" s="3"/>
      <c r="H44" s="52"/>
      <c r="I44" s="3"/>
    </row>
    <row r="45" spans="1:34" x14ac:dyDescent="0.25">
      <c r="A45" s="6"/>
      <c r="B45" s="6"/>
      <c r="C45" s="53"/>
      <c r="D45" s="6"/>
      <c r="E45" s="6"/>
      <c r="F45" s="56" t="s">
        <v>26</v>
      </c>
      <c r="G45" s="43" t="s">
        <v>27</v>
      </c>
      <c r="H45" s="62" t="s">
        <v>26</v>
      </c>
      <c r="I45" s="47" t="s">
        <v>27</v>
      </c>
    </row>
    <row r="46" spans="1:34" ht="15.75" thickBot="1" x14ac:dyDescent="0.3">
      <c r="A46" s="30"/>
      <c r="B46" s="31"/>
      <c r="C46" s="55" t="s">
        <v>33</v>
      </c>
      <c r="D46" s="51">
        <v>61</v>
      </c>
      <c r="E46" s="51"/>
      <c r="F46" s="32"/>
      <c r="G46" s="30"/>
      <c r="H46" s="32"/>
      <c r="I46" s="30"/>
    </row>
    <row r="47" spans="1:34" x14ac:dyDescent="0.25">
      <c r="A47" s="3" t="s">
        <v>16</v>
      </c>
      <c r="B47">
        <v>1</v>
      </c>
      <c r="C47" s="78">
        <v>0</v>
      </c>
      <c r="D47" s="79">
        <v>2</v>
      </c>
      <c r="E47" s="82">
        <v>0</v>
      </c>
      <c r="F47" s="58">
        <v>0.69</v>
      </c>
      <c r="G47" s="59">
        <f>(F47-$F$57)^2</f>
        <v>7.839999999999952E-4</v>
      </c>
      <c r="H47" s="78">
        <v>376</v>
      </c>
      <c r="I47" s="65">
        <f>(H47-$H$57)^2</f>
        <v>1267.3600000000017</v>
      </c>
    </row>
    <row r="48" spans="1:34" x14ac:dyDescent="0.25">
      <c r="A48" s="3"/>
      <c r="B48">
        <v>2</v>
      </c>
      <c r="C48" s="78">
        <v>0</v>
      </c>
      <c r="D48" s="79">
        <v>3</v>
      </c>
      <c r="E48" s="82">
        <v>0</v>
      </c>
      <c r="F48" s="58">
        <v>0.56999999999999995</v>
      </c>
      <c r="G48" s="59">
        <f t="shared" ref="G48:G51" si="27">(F48-$F$57)^2</f>
        <v>8.4640000000000149E-3</v>
      </c>
      <c r="H48" s="78">
        <v>299</v>
      </c>
      <c r="I48" s="65">
        <f t="shared" ref="I48:I56" si="28">(H48-$H$57)^2</f>
        <v>1713.9599999999982</v>
      </c>
    </row>
    <row r="49" spans="1:9" x14ac:dyDescent="0.25">
      <c r="A49" s="3"/>
      <c r="B49">
        <v>3</v>
      </c>
      <c r="C49" s="78">
        <v>0</v>
      </c>
      <c r="D49" s="79">
        <v>1</v>
      </c>
      <c r="E49" s="82">
        <v>1</v>
      </c>
      <c r="F49" s="58">
        <v>0.74</v>
      </c>
      <c r="G49" s="59">
        <f t="shared" si="27"/>
        <v>6.0839999999999931E-3</v>
      </c>
      <c r="H49" s="78">
        <v>382</v>
      </c>
      <c r="I49" s="65">
        <f t="shared" si="28"/>
        <v>1730.560000000002</v>
      </c>
    </row>
    <row r="50" spans="1:9" x14ac:dyDescent="0.25">
      <c r="A50" s="3"/>
      <c r="B50">
        <v>4</v>
      </c>
      <c r="C50" s="78">
        <v>0</v>
      </c>
      <c r="D50" s="82">
        <v>1</v>
      </c>
      <c r="E50" s="82">
        <v>11</v>
      </c>
      <c r="F50" s="58">
        <v>0.65</v>
      </c>
      <c r="G50" s="59">
        <f t="shared" si="27"/>
        <v>1.4400000000000025E-4</v>
      </c>
      <c r="H50" s="78">
        <v>330</v>
      </c>
      <c r="I50" s="65">
        <f t="shared" si="28"/>
        <v>108.15999999999953</v>
      </c>
    </row>
    <row r="51" spans="1:9" x14ac:dyDescent="0.25">
      <c r="A51" s="3"/>
      <c r="B51">
        <v>5</v>
      </c>
      <c r="C51" s="78">
        <v>0</v>
      </c>
      <c r="D51" s="82">
        <v>1</v>
      </c>
      <c r="E51" s="82">
        <v>6</v>
      </c>
      <c r="F51" s="58">
        <v>0.66</v>
      </c>
      <c r="G51" s="59">
        <f t="shared" si="27"/>
        <v>4.0000000000000074E-6</v>
      </c>
      <c r="H51" s="78">
        <v>327</v>
      </c>
      <c r="I51" s="65">
        <f t="shared" si="28"/>
        <v>179.55999999999938</v>
      </c>
    </row>
    <row r="52" spans="1:9" x14ac:dyDescent="0.25">
      <c r="A52" s="3"/>
      <c r="B52">
        <v>6</v>
      </c>
      <c r="C52" s="78">
        <v>0</v>
      </c>
      <c r="D52" s="82">
        <v>1</v>
      </c>
      <c r="E52" s="82">
        <v>1</v>
      </c>
      <c r="F52" s="58">
        <v>0.68</v>
      </c>
      <c r="G52" s="59">
        <f>(F52-$F$57)^2</f>
        <v>3.2400000000000056E-4</v>
      </c>
      <c r="H52" s="78">
        <v>340</v>
      </c>
      <c r="I52" s="65">
        <f t="shared" si="28"/>
        <v>0.15999999999998182</v>
      </c>
    </row>
    <row r="53" spans="1:9" x14ac:dyDescent="0.25">
      <c r="A53" s="3"/>
      <c r="B53">
        <v>7</v>
      </c>
      <c r="C53" s="78">
        <v>0</v>
      </c>
      <c r="D53" s="82">
        <v>1</v>
      </c>
      <c r="E53" s="82">
        <v>1</v>
      </c>
      <c r="F53" s="58">
        <v>0.62</v>
      </c>
      <c r="G53" s="59">
        <f>(F53-$F$57)^2</f>
        <v>1.7640000000000032E-3</v>
      </c>
      <c r="H53" s="78">
        <v>315</v>
      </c>
      <c r="I53" s="65">
        <f t="shared" si="28"/>
        <v>645.15999999999883</v>
      </c>
    </row>
    <row r="54" spans="1:9" x14ac:dyDescent="0.25">
      <c r="A54" s="3"/>
      <c r="B54">
        <v>8</v>
      </c>
      <c r="C54" s="78">
        <v>0</v>
      </c>
      <c r="D54" s="82">
        <v>2</v>
      </c>
      <c r="E54" s="82">
        <v>6</v>
      </c>
      <c r="F54" s="58">
        <v>0.7</v>
      </c>
      <c r="G54" s="59">
        <f>(F54-$F$57)^2</f>
        <v>1.4439999999999941E-3</v>
      </c>
      <c r="H54" s="78">
        <v>360</v>
      </c>
      <c r="I54" s="65">
        <f t="shared" si="28"/>
        <v>384.16000000000088</v>
      </c>
    </row>
    <row r="55" spans="1:9" x14ac:dyDescent="0.25">
      <c r="A55" s="3"/>
      <c r="B55">
        <v>9</v>
      </c>
      <c r="C55" s="78">
        <v>0</v>
      </c>
      <c r="D55" s="82">
        <v>4</v>
      </c>
      <c r="E55" s="82">
        <v>1</v>
      </c>
      <c r="F55" s="58">
        <v>0.64</v>
      </c>
      <c r="G55" s="59">
        <f>(F55-$F$57)^2</f>
        <v>4.8400000000000087E-4</v>
      </c>
      <c r="H55" s="78">
        <v>325</v>
      </c>
      <c r="I55" s="65">
        <f t="shared" si="28"/>
        <v>237.15999999999929</v>
      </c>
    </row>
    <row r="56" spans="1:9" x14ac:dyDescent="0.25">
      <c r="A56" s="6"/>
      <c r="B56" s="8">
        <v>10</v>
      </c>
      <c r="C56" s="80">
        <v>0</v>
      </c>
      <c r="D56" s="81">
        <v>1</v>
      </c>
      <c r="E56" s="81">
        <v>6</v>
      </c>
      <c r="F56" s="60">
        <v>0.67</v>
      </c>
      <c r="G56" s="59">
        <f>(F56-$F$57)^2</f>
        <v>6.4000000000000119E-5</v>
      </c>
      <c r="H56" s="80">
        <v>350</v>
      </c>
      <c r="I56" s="65">
        <f t="shared" si="28"/>
        <v>92.160000000000437</v>
      </c>
    </row>
    <row r="57" spans="1:9" x14ac:dyDescent="0.25">
      <c r="A57" s="9" t="s">
        <v>35</v>
      </c>
      <c r="B57" s="69"/>
      <c r="C57" s="72">
        <f>AVERAGE(C47:C56)</f>
        <v>0</v>
      </c>
      <c r="D57" s="73">
        <f>AVERAGE(D47:D56)</f>
        <v>1.7</v>
      </c>
      <c r="E57" s="73">
        <f>AVERAGE(E47:E56)</f>
        <v>3.3</v>
      </c>
      <c r="F57" s="72">
        <f>AVERAGE(F47:F56)</f>
        <v>0.66200000000000003</v>
      </c>
      <c r="G57" s="73">
        <f>SQRT(AVERAGE(G47:G56))</f>
        <v>4.4226688774991967E-2</v>
      </c>
      <c r="H57" s="74">
        <f>AVERAGE(H47:H56)</f>
        <v>340.4</v>
      </c>
      <c r="I57" s="75">
        <f>SQRT(AVERAGE(I47:I56))</f>
        <v>25.215868019959178</v>
      </c>
    </row>
    <row r="58" spans="1:9" ht="15.75" thickBot="1" x14ac:dyDescent="0.3">
      <c r="A58" s="70" t="s">
        <v>34</v>
      </c>
      <c r="B58" s="71"/>
      <c r="C58" s="61">
        <f>C57/$D$46</f>
        <v>0</v>
      </c>
      <c r="D58" s="41">
        <f>D57/$D$46</f>
        <v>2.7868852459016394E-2</v>
      </c>
      <c r="E58" s="41">
        <f>E57/$D$46</f>
        <v>5.4098360655737705E-2</v>
      </c>
      <c r="F58" s="54"/>
      <c r="G58" s="39"/>
      <c r="H58" s="54"/>
      <c r="I58" s="39"/>
    </row>
    <row r="59" spans="1:9" x14ac:dyDescent="0.25">
      <c r="A59" s="3" t="s">
        <v>17</v>
      </c>
      <c r="B59">
        <v>1</v>
      </c>
      <c r="C59" s="78">
        <v>0</v>
      </c>
      <c r="D59" s="79">
        <v>2</v>
      </c>
      <c r="E59" s="82">
        <v>4</v>
      </c>
      <c r="F59" s="58">
        <v>0.89</v>
      </c>
      <c r="G59" s="59">
        <f>(F59-$F$69)^2</f>
        <v>1.5376000000000027E-2</v>
      </c>
      <c r="H59" s="78">
        <v>411</v>
      </c>
      <c r="I59" s="65">
        <f>(H59-$H$69)^2</f>
        <v>1747.2400000000009</v>
      </c>
    </row>
    <row r="60" spans="1:9" x14ac:dyDescent="0.25">
      <c r="A60" s="3"/>
      <c r="B60">
        <v>2</v>
      </c>
      <c r="C60" s="78">
        <v>0</v>
      </c>
      <c r="D60" s="79">
        <v>2</v>
      </c>
      <c r="E60" s="82">
        <v>3</v>
      </c>
      <c r="F60" s="58">
        <v>0.71</v>
      </c>
      <c r="G60" s="59">
        <f t="shared" ref="G60:G68" si="29">(F60-$F$69)^2</f>
        <v>3.135999999999993E-3</v>
      </c>
      <c r="H60" s="78">
        <v>387</v>
      </c>
      <c r="I60" s="65">
        <f t="shared" ref="I60:I68" si="30">(H60-$H$69)^2</f>
        <v>316.84000000000043</v>
      </c>
    </row>
    <row r="61" spans="1:9" x14ac:dyDescent="0.25">
      <c r="A61" s="3"/>
      <c r="B61">
        <v>3</v>
      </c>
      <c r="C61" s="78">
        <v>0</v>
      </c>
      <c r="D61" s="79">
        <v>1</v>
      </c>
      <c r="E61" s="82">
        <v>3</v>
      </c>
      <c r="F61" s="58">
        <v>0.99</v>
      </c>
      <c r="G61" s="59">
        <f t="shared" si="29"/>
        <v>5.017600000000004E-2</v>
      </c>
      <c r="H61" s="78">
        <v>482</v>
      </c>
      <c r="I61" s="65">
        <f t="shared" si="30"/>
        <v>12723.840000000002</v>
      </c>
    </row>
    <row r="62" spans="1:9" x14ac:dyDescent="0.25">
      <c r="A62" s="3"/>
      <c r="B62">
        <v>4</v>
      </c>
      <c r="C62" s="78">
        <v>0</v>
      </c>
      <c r="D62" s="82">
        <v>3</v>
      </c>
      <c r="E62" s="82">
        <v>3</v>
      </c>
      <c r="F62" s="58">
        <v>0.51</v>
      </c>
      <c r="G62" s="59">
        <f t="shared" si="29"/>
        <v>6.5535999999999942E-2</v>
      </c>
      <c r="H62" s="78">
        <v>220</v>
      </c>
      <c r="I62" s="65">
        <f t="shared" si="30"/>
        <v>22260.639999999996</v>
      </c>
    </row>
    <row r="63" spans="1:9" x14ac:dyDescent="0.25">
      <c r="A63" s="3"/>
      <c r="B63">
        <v>5</v>
      </c>
      <c r="C63" s="78">
        <v>0</v>
      </c>
      <c r="D63" s="82">
        <v>1</v>
      </c>
      <c r="E63" s="82">
        <v>3</v>
      </c>
      <c r="F63" s="58">
        <v>0.76</v>
      </c>
      <c r="G63" s="59">
        <f t="shared" si="29"/>
        <v>3.5999999999998734E-5</v>
      </c>
      <c r="H63" s="78">
        <v>357</v>
      </c>
      <c r="I63" s="65">
        <f t="shared" si="30"/>
        <v>148.83999999999972</v>
      </c>
    </row>
    <row r="64" spans="1:9" x14ac:dyDescent="0.25">
      <c r="A64" s="3"/>
      <c r="B64">
        <v>6</v>
      </c>
      <c r="C64" s="78">
        <v>0</v>
      </c>
      <c r="D64" s="82">
        <v>0</v>
      </c>
      <c r="E64" s="82">
        <v>3</v>
      </c>
      <c r="F64" s="58">
        <v>0.8</v>
      </c>
      <c r="G64" s="59">
        <f t="shared" si="29"/>
        <v>1.1560000000000097E-3</v>
      </c>
      <c r="H64" s="78">
        <v>390</v>
      </c>
      <c r="I64" s="65">
        <f t="shared" si="30"/>
        <v>432.6400000000005</v>
      </c>
    </row>
    <row r="65" spans="1:9" x14ac:dyDescent="0.25">
      <c r="A65" s="3"/>
      <c r="B65">
        <v>7</v>
      </c>
      <c r="C65" s="78">
        <v>0</v>
      </c>
      <c r="D65" s="82">
        <v>2</v>
      </c>
      <c r="E65" s="82">
        <v>4</v>
      </c>
      <c r="F65" s="58">
        <v>0.65</v>
      </c>
      <c r="G65" s="59">
        <f t="shared" si="29"/>
        <v>1.3455999999999973E-2</v>
      </c>
      <c r="H65" s="78">
        <v>340</v>
      </c>
      <c r="I65" s="65">
        <f t="shared" si="30"/>
        <v>852.6399999999993</v>
      </c>
    </row>
    <row r="66" spans="1:9" x14ac:dyDescent="0.25">
      <c r="A66" s="3"/>
      <c r="B66">
        <v>8</v>
      </c>
      <c r="C66" s="78">
        <v>0</v>
      </c>
      <c r="D66" s="82">
        <v>1</v>
      </c>
      <c r="E66" s="82">
        <v>3</v>
      </c>
      <c r="F66" s="58">
        <v>0.85</v>
      </c>
      <c r="G66" s="59">
        <f t="shared" si="29"/>
        <v>7.0560000000000128E-3</v>
      </c>
      <c r="H66" s="78">
        <v>420</v>
      </c>
      <c r="I66" s="65">
        <f t="shared" si="30"/>
        <v>2580.6400000000012</v>
      </c>
    </row>
    <row r="67" spans="1:9" x14ac:dyDescent="0.25">
      <c r="A67" s="3"/>
      <c r="B67">
        <v>9</v>
      </c>
      <c r="C67" s="78">
        <v>0</v>
      </c>
      <c r="D67" s="82">
        <v>2</v>
      </c>
      <c r="E67" s="82">
        <v>2</v>
      </c>
      <c r="F67" s="58">
        <v>0.72</v>
      </c>
      <c r="G67" s="59">
        <f t="shared" si="29"/>
        <v>2.1159999999999938E-3</v>
      </c>
      <c r="H67" s="78">
        <v>310</v>
      </c>
      <c r="I67" s="65">
        <f t="shared" si="30"/>
        <v>3504.6399999999985</v>
      </c>
    </row>
    <row r="68" spans="1:9" x14ac:dyDescent="0.25">
      <c r="A68" s="6"/>
      <c r="B68" s="8">
        <v>10</v>
      </c>
      <c r="C68" s="80">
        <v>28</v>
      </c>
      <c r="D68" s="81">
        <v>1</v>
      </c>
      <c r="E68" s="81">
        <v>2</v>
      </c>
      <c r="F68" s="60">
        <v>0.78</v>
      </c>
      <c r="G68" s="59">
        <f t="shared" si="29"/>
        <v>1.9600000000000346E-4</v>
      </c>
      <c r="H68" s="80">
        <v>375</v>
      </c>
      <c r="I68" s="65">
        <f t="shared" si="30"/>
        <v>33.640000000000128</v>
      </c>
    </row>
    <row r="69" spans="1:9" x14ac:dyDescent="0.25">
      <c r="A69" s="9" t="s">
        <v>35</v>
      </c>
      <c r="B69" s="69"/>
      <c r="C69" s="72">
        <f>AVERAGE(C59:C68)</f>
        <v>2.8</v>
      </c>
      <c r="D69" s="73">
        <f>AVERAGE(D59:D68)</f>
        <v>1.5</v>
      </c>
      <c r="E69" s="73">
        <f>AVERAGE(E59:E68)</f>
        <v>3</v>
      </c>
      <c r="F69" s="72">
        <f>AVERAGE(F59:F68)</f>
        <v>0.7659999999999999</v>
      </c>
      <c r="G69" s="73">
        <f>SQRT(AVERAGE(G59:G68))</f>
        <v>0.12579348154813111</v>
      </c>
      <c r="H69" s="74">
        <f>AVERAGE(H59:H68)</f>
        <v>369.2</v>
      </c>
      <c r="I69" s="75">
        <f>SQRT(AVERAGE(I59:I68))</f>
        <v>66.784429323009107</v>
      </c>
    </row>
    <row r="70" spans="1:9" ht="15.75" thickBot="1" x14ac:dyDescent="0.3">
      <c r="A70" s="70" t="s">
        <v>34</v>
      </c>
      <c r="B70" s="71"/>
      <c r="C70" s="61">
        <f>C69/$D$46</f>
        <v>4.5901639344262293E-2</v>
      </c>
      <c r="D70" s="41">
        <f>D69/$D$46</f>
        <v>2.4590163934426229E-2</v>
      </c>
      <c r="E70" s="41">
        <f>E69/$D$46</f>
        <v>4.9180327868852458E-2</v>
      </c>
      <c r="F70" s="54"/>
      <c r="G70" s="39"/>
      <c r="H70" s="54"/>
      <c r="I70" s="39"/>
    </row>
    <row r="71" spans="1:9" x14ac:dyDescent="0.25">
      <c r="A71" s="3" t="s">
        <v>18</v>
      </c>
      <c r="B71">
        <v>1</v>
      </c>
      <c r="C71" s="78">
        <v>0</v>
      </c>
      <c r="D71" s="79">
        <v>1</v>
      </c>
      <c r="E71" s="82">
        <v>0</v>
      </c>
      <c r="F71" s="58">
        <v>0.33189999999999997</v>
      </c>
      <c r="G71" s="59">
        <f>(F71-$F$81)^2</f>
        <v>5.7456089999999695E-4</v>
      </c>
      <c r="H71" s="78">
        <v>185</v>
      </c>
      <c r="I71" s="65">
        <f>(H71-$H$81)^2</f>
        <v>561.68999999999949</v>
      </c>
    </row>
    <row r="72" spans="1:9" x14ac:dyDescent="0.25">
      <c r="A72" s="3"/>
      <c r="B72">
        <v>2</v>
      </c>
      <c r="C72" s="78">
        <v>0</v>
      </c>
      <c r="D72" s="79">
        <v>1</v>
      </c>
      <c r="E72" s="82">
        <v>0</v>
      </c>
      <c r="F72" s="58">
        <v>0.2157</v>
      </c>
      <c r="G72" s="59">
        <f t="shared" ref="G72:G80" si="31">(F72-$F$81)^2</f>
        <v>8.5063729000000067E-3</v>
      </c>
      <c r="H72" s="78">
        <v>105</v>
      </c>
      <c r="I72" s="65">
        <f t="shared" ref="I72:I80" si="32">(H72-$H$81)^2</f>
        <v>3169.6900000000014</v>
      </c>
    </row>
    <row r="73" spans="1:9" x14ac:dyDescent="0.25">
      <c r="A73" s="3"/>
      <c r="B73">
        <v>3</v>
      </c>
      <c r="C73" s="78">
        <v>0</v>
      </c>
      <c r="D73" s="79">
        <v>2</v>
      </c>
      <c r="E73" s="82">
        <v>1</v>
      </c>
      <c r="F73" s="58">
        <v>0.2681</v>
      </c>
      <c r="G73" s="59">
        <f t="shared" si="31"/>
        <v>1.5864289000000024E-3</v>
      </c>
      <c r="H73" s="78">
        <v>151</v>
      </c>
      <c r="I73" s="65">
        <f t="shared" si="32"/>
        <v>106.09000000000023</v>
      </c>
    </row>
    <row r="74" spans="1:9" x14ac:dyDescent="0.25">
      <c r="A74" s="3"/>
      <c r="B74">
        <v>4</v>
      </c>
      <c r="C74" s="78">
        <v>0</v>
      </c>
      <c r="D74" s="82">
        <v>1</v>
      </c>
      <c r="E74" s="82">
        <v>0</v>
      </c>
      <c r="F74" s="58">
        <v>0.4234</v>
      </c>
      <c r="G74" s="59">
        <f t="shared" si="31"/>
        <v>1.333332089999999E-2</v>
      </c>
      <c r="H74" s="78">
        <v>194</v>
      </c>
      <c r="I74" s="65">
        <f t="shared" si="32"/>
        <v>1069.2899999999993</v>
      </c>
    </row>
    <row r="75" spans="1:9" x14ac:dyDescent="0.25">
      <c r="A75" s="3"/>
      <c r="B75">
        <v>5</v>
      </c>
      <c r="C75" s="78">
        <v>0</v>
      </c>
      <c r="D75" s="82">
        <v>1</v>
      </c>
      <c r="E75" s="82">
        <v>0</v>
      </c>
      <c r="F75" s="58">
        <v>0.3402</v>
      </c>
      <c r="G75" s="59">
        <f t="shared" si="31"/>
        <v>1.0413528999999979E-3</v>
      </c>
      <c r="H75" s="78">
        <v>168</v>
      </c>
      <c r="I75" s="65">
        <f t="shared" si="32"/>
        <v>44.889999999999844</v>
      </c>
    </row>
    <row r="76" spans="1:9" x14ac:dyDescent="0.25">
      <c r="A76" s="3"/>
      <c r="B76">
        <v>6</v>
      </c>
      <c r="C76" s="78">
        <v>0</v>
      </c>
      <c r="D76" s="82">
        <v>1</v>
      </c>
      <c r="E76" s="82">
        <v>2</v>
      </c>
      <c r="F76" s="58">
        <v>0.3</v>
      </c>
      <c r="G76" s="59">
        <f t="shared" si="31"/>
        <v>6.2884900000000757E-5</v>
      </c>
      <c r="H76" s="78">
        <v>170</v>
      </c>
      <c r="I76" s="65">
        <f t="shared" si="32"/>
        <v>75.689999999999799</v>
      </c>
    </row>
    <row r="77" spans="1:9" x14ac:dyDescent="0.25">
      <c r="A77" s="3"/>
      <c r="B77">
        <v>7</v>
      </c>
      <c r="C77" s="78">
        <v>0</v>
      </c>
      <c r="D77" s="82">
        <v>1</v>
      </c>
      <c r="E77" s="82">
        <v>2</v>
      </c>
      <c r="F77" s="58">
        <v>0.25</v>
      </c>
      <c r="G77" s="59">
        <f t="shared" si="31"/>
        <v>3.3558849000000042E-3</v>
      </c>
      <c r="H77" s="78">
        <v>140</v>
      </c>
      <c r="I77" s="65">
        <f t="shared" si="32"/>
        <v>453.69000000000051</v>
      </c>
    </row>
    <row r="78" spans="1:9" x14ac:dyDescent="0.25">
      <c r="A78" s="3"/>
      <c r="B78">
        <v>8</v>
      </c>
      <c r="C78" s="78">
        <v>0</v>
      </c>
      <c r="D78" s="82">
        <v>0</v>
      </c>
      <c r="E78" s="82">
        <v>2</v>
      </c>
      <c r="F78" s="58">
        <v>0.35</v>
      </c>
      <c r="G78" s="59">
        <f t="shared" si="31"/>
        <v>1.7698848999999951E-3</v>
      </c>
      <c r="H78" s="78">
        <v>180</v>
      </c>
      <c r="I78" s="65">
        <f t="shared" si="32"/>
        <v>349.6899999999996</v>
      </c>
    </row>
    <row r="79" spans="1:9" x14ac:dyDescent="0.25">
      <c r="A79" s="3"/>
      <c r="B79">
        <v>9</v>
      </c>
      <c r="C79" s="78">
        <v>0</v>
      </c>
      <c r="D79" s="82">
        <v>2</v>
      </c>
      <c r="E79" s="82">
        <v>2</v>
      </c>
      <c r="F79" s="58">
        <v>0.28000000000000003</v>
      </c>
      <c r="G79" s="59">
        <f t="shared" si="31"/>
        <v>7.8008490000000053E-4</v>
      </c>
      <c r="H79" s="78">
        <v>155</v>
      </c>
      <c r="I79" s="65">
        <f t="shared" si="32"/>
        <v>39.69000000000014</v>
      </c>
    </row>
    <row r="80" spans="1:9" x14ac:dyDescent="0.25">
      <c r="A80" s="6"/>
      <c r="B80" s="8">
        <v>10</v>
      </c>
      <c r="C80" s="80">
        <v>0</v>
      </c>
      <c r="D80" s="81">
        <v>1</v>
      </c>
      <c r="E80" s="81">
        <v>2</v>
      </c>
      <c r="F80" s="60">
        <v>0.32</v>
      </c>
      <c r="G80" s="59">
        <f t="shared" si="31"/>
        <v>1.4568489999999926E-4</v>
      </c>
      <c r="H80" s="80">
        <v>165</v>
      </c>
      <c r="I80" s="65">
        <f t="shared" si="32"/>
        <v>13.689999999999916</v>
      </c>
    </row>
    <row r="81" spans="1:9" x14ac:dyDescent="0.25">
      <c r="A81" s="9" t="s">
        <v>35</v>
      </c>
      <c r="B81" s="69"/>
      <c r="C81" s="72">
        <f>AVERAGE(C71:C80)</f>
        <v>0</v>
      </c>
      <c r="D81" s="73">
        <f>AVERAGE(D71:D80)</f>
        <v>1.1000000000000001</v>
      </c>
      <c r="E81" s="73">
        <f>AVERAGE(E71:E80)</f>
        <v>1.1000000000000001</v>
      </c>
      <c r="F81" s="72">
        <f>AVERAGE(F71:F80)</f>
        <v>0.30793000000000004</v>
      </c>
      <c r="G81" s="73">
        <f>SQRT(AVERAGE(G71:G80))</f>
        <v>5.5817972911957302E-2</v>
      </c>
      <c r="H81" s="74">
        <f>AVERAGE(H71:H80)</f>
        <v>161.30000000000001</v>
      </c>
      <c r="I81" s="75">
        <f>SQRT(AVERAGE(I71:I80))</f>
        <v>24.25716389028198</v>
      </c>
    </row>
    <row r="82" spans="1:9" ht="15.75" thickBot="1" x14ac:dyDescent="0.3">
      <c r="A82" s="70" t="s">
        <v>34</v>
      </c>
      <c r="B82" s="71"/>
      <c r="C82" s="61">
        <f>C81/$D$46</f>
        <v>0</v>
      </c>
      <c r="D82" s="41">
        <f>D81/$D$46</f>
        <v>1.8032786885245903E-2</v>
      </c>
      <c r="E82" s="41">
        <f>E81/$D$46</f>
        <v>1.8032786885245903E-2</v>
      </c>
      <c r="F82" s="54"/>
      <c r="G82" s="39"/>
      <c r="H82" s="54"/>
      <c r="I82" s="39"/>
    </row>
  </sheetData>
  <mergeCells count="45">
    <mergeCell ref="A82:B82"/>
    <mergeCell ref="A58:B58"/>
    <mergeCell ref="A59:A68"/>
    <mergeCell ref="A69:B69"/>
    <mergeCell ref="A70:B70"/>
    <mergeCell ref="A71:A80"/>
    <mergeCell ref="A81:B81"/>
    <mergeCell ref="C44:C45"/>
    <mergeCell ref="D44:D45"/>
    <mergeCell ref="E44:E45"/>
    <mergeCell ref="D46:E46"/>
    <mergeCell ref="A47:A56"/>
    <mergeCell ref="A57:B57"/>
    <mergeCell ref="AB3:AB4"/>
    <mergeCell ref="A6:A15"/>
    <mergeCell ref="A17:A26"/>
    <mergeCell ref="A28:A37"/>
    <mergeCell ref="A42:I42"/>
    <mergeCell ref="A43:A45"/>
    <mergeCell ref="B43:B45"/>
    <mergeCell ref="C43:E43"/>
    <mergeCell ref="F43:G44"/>
    <mergeCell ref="H43:I44"/>
    <mergeCell ref="O3:P3"/>
    <mergeCell ref="Q3:Q4"/>
    <mergeCell ref="R3:R4"/>
    <mergeCell ref="W3:X3"/>
    <mergeCell ref="Y3:Z3"/>
    <mergeCell ref="AA3:AA4"/>
    <mergeCell ref="C3:D3"/>
    <mergeCell ref="E3:F3"/>
    <mergeCell ref="G3:H3"/>
    <mergeCell ref="I3:J3"/>
    <mergeCell ref="K3:L3"/>
    <mergeCell ref="M3:N3"/>
    <mergeCell ref="A1:AH1"/>
    <mergeCell ref="A2:A4"/>
    <mergeCell ref="B2:B4"/>
    <mergeCell ref="C2:R2"/>
    <mergeCell ref="S2:V3"/>
    <mergeCell ref="W2:AB2"/>
    <mergeCell ref="AC2:AC4"/>
    <mergeCell ref="AD2:AD4"/>
    <mergeCell ref="AE2:AF3"/>
    <mergeCell ref="AG2:A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6F8D-2AEE-4EDE-8AFC-3FD232D53E53}">
  <dimension ref="A1:AH82"/>
  <sheetViews>
    <sheetView workbookViewId="0">
      <selection activeCell="M65" sqref="M65"/>
    </sheetView>
  </sheetViews>
  <sheetFormatPr defaultRowHeight="15" x14ac:dyDescent="0.25"/>
  <cols>
    <col min="3" max="3" width="9.140625" style="10"/>
    <col min="17" max="18" width="9.140625" style="20"/>
    <col min="19" max="19" width="9.140625" style="10"/>
    <col min="21" max="22" width="9.140625" style="20"/>
    <col min="23" max="23" width="9.140625" style="10"/>
    <col min="27" max="28" width="9.140625" style="20"/>
    <col min="29" max="29" width="9.140625" style="19"/>
    <col min="30" max="30" width="9.140625" style="20"/>
    <col min="31" max="31" width="9.140625" style="45"/>
    <col min="32" max="32" width="9.140625" style="40" customWidth="1"/>
    <col min="33" max="34" width="9.140625" style="49"/>
  </cols>
  <sheetData>
    <row r="1" spans="1:34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15</v>
      </c>
      <c r="B2" s="3" t="s">
        <v>0</v>
      </c>
      <c r="C2" s="14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5"/>
      <c r="S2" s="13" t="s">
        <v>12</v>
      </c>
      <c r="T2" s="5"/>
      <c r="U2" s="5"/>
      <c r="V2" s="16"/>
      <c r="W2" s="14" t="s">
        <v>13</v>
      </c>
      <c r="X2" s="4"/>
      <c r="Y2" s="4"/>
      <c r="Z2" s="4"/>
      <c r="AA2" s="4"/>
      <c r="AB2" s="4"/>
      <c r="AC2" s="25" t="s">
        <v>21</v>
      </c>
      <c r="AD2" s="26" t="s">
        <v>22</v>
      </c>
      <c r="AE2" s="52" t="s">
        <v>24</v>
      </c>
      <c r="AF2" s="3"/>
      <c r="AG2" s="52" t="s">
        <v>25</v>
      </c>
      <c r="AH2" s="3"/>
    </row>
    <row r="3" spans="1:34" x14ac:dyDescent="0.25">
      <c r="A3" s="2"/>
      <c r="B3" s="3"/>
      <c r="C3" s="14" t="s">
        <v>2</v>
      </c>
      <c r="D3" s="4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4" t="s">
        <v>1</v>
      </c>
      <c r="P3" s="4"/>
      <c r="Q3" s="17" t="s">
        <v>19</v>
      </c>
      <c r="R3" s="17" t="s">
        <v>20</v>
      </c>
      <c r="S3" s="13"/>
      <c r="T3" s="5"/>
      <c r="U3" s="5"/>
      <c r="V3" s="16"/>
      <c r="W3" s="14" t="s">
        <v>4</v>
      </c>
      <c r="X3" s="4"/>
      <c r="Y3" s="4" t="s">
        <v>14</v>
      </c>
      <c r="Z3" s="4"/>
      <c r="AA3" s="17" t="s">
        <v>19</v>
      </c>
      <c r="AB3" s="17" t="s">
        <v>20</v>
      </c>
      <c r="AC3" s="25"/>
      <c r="AD3" s="26"/>
      <c r="AE3" s="52"/>
      <c r="AF3" s="3"/>
      <c r="AG3" s="52"/>
      <c r="AH3" s="3"/>
    </row>
    <row r="4" spans="1:34" x14ac:dyDescent="0.25">
      <c r="A4" s="6"/>
      <c r="B4" s="6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  <c r="K4" s="7" t="s">
        <v>8</v>
      </c>
      <c r="L4" s="7" t="s">
        <v>9</v>
      </c>
      <c r="M4" s="7" t="s">
        <v>8</v>
      </c>
      <c r="N4" s="7" t="s">
        <v>9</v>
      </c>
      <c r="O4" s="7" t="s">
        <v>8</v>
      </c>
      <c r="P4" s="7" t="s">
        <v>9</v>
      </c>
      <c r="Q4" s="18"/>
      <c r="R4" s="18"/>
      <c r="S4" s="11" t="s">
        <v>8</v>
      </c>
      <c r="T4" s="7" t="s">
        <v>9</v>
      </c>
      <c r="U4" s="21" t="s">
        <v>19</v>
      </c>
      <c r="V4" s="21" t="s">
        <v>20</v>
      </c>
      <c r="W4" s="11" t="s">
        <v>8</v>
      </c>
      <c r="X4" s="7" t="s">
        <v>9</v>
      </c>
      <c r="Y4" s="7" t="s">
        <v>8</v>
      </c>
      <c r="Z4" s="7" t="s">
        <v>9</v>
      </c>
      <c r="AA4" s="18"/>
      <c r="AB4" s="18"/>
      <c r="AC4" s="27"/>
      <c r="AD4" s="28"/>
      <c r="AE4" s="56" t="s">
        <v>26</v>
      </c>
      <c r="AF4" s="43" t="s">
        <v>27</v>
      </c>
      <c r="AG4" s="62" t="s">
        <v>26</v>
      </c>
      <c r="AH4" s="47" t="s">
        <v>27</v>
      </c>
    </row>
    <row r="5" spans="1:34" ht="15.75" thickBot="1" x14ac:dyDescent="0.3">
      <c r="A5" s="30"/>
      <c r="B5" s="31" t="s">
        <v>10</v>
      </c>
      <c r="C5" s="76">
        <v>4</v>
      </c>
      <c r="D5" s="77">
        <v>4</v>
      </c>
      <c r="E5" s="77">
        <v>24</v>
      </c>
      <c r="F5" s="77">
        <v>24</v>
      </c>
      <c r="G5" s="77">
        <v>4</v>
      </c>
      <c r="H5" s="77">
        <v>4</v>
      </c>
      <c r="I5" s="77">
        <v>4</v>
      </c>
      <c r="J5" s="77">
        <v>4</v>
      </c>
      <c r="K5" s="77">
        <v>2</v>
      </c>
      <c r="L5" s="77">
        <v>2</v>
      </c>
      <c r="M5" s="77">
        <v>2</v>
      </c>
      <c r="N5" s="77">
        <v>2</v>
      </c>
      <c r="O5" s="77">
        <v>0</v>
      </c>
      <c r="P5" s="77">
        <v>0</v>
      </c>
      <c r="Q5" s="33">
        <v>1</v>
      </c>
      <c r="R5" s="33">
        <v>1</v>
      </c>
      <c r="S5" s="32">
        <v>2</v>
      </c>
      <c r="T5" s="30">
        <v>2</v>
      </c>
      <c r="U5" s="33">
        <v>1</v>
      </c>
      <c r="V5" s="33">
        <v>1</v>
      </c>
      <c r="W5" s="76">
        <v>9</v>
      </c>
      <c r="X5" s="77">
        <v>9</v>
      </c>
      <c r="Y5" s="77">
        <v>10</v>
      </c>
      <c r="Z5" s="77">
        <v>10</v>
      </c>
      <c r="AA5" s="33">
        <v>1</v>
      </c>
      <c r="AB5" s="33">
        <v>1</v>
      </c>
      <c r="AC5" s="34"/>
      <c r="AD5" s="33"/>
      <c r="AE5" s="57"/>
      <c r="AF5" s="44"/>
      <c r="AG5" s="63"/>
      <c r="AH5" s="48"/>
    </row>
    <row r="6" spans="1:34" x14ac:dyDescent="0.25">
      <c r="A6" s="3" t="s">
        <v>16</v>
      </c>
      <c r="B6">
        <v>1</v>
      </c>
      <c r="C6" s="78">
        <v>4</v>
      </c>
      <c r="D6" s="79">
        <v>4</v>
      </c>
      <c r="E6" s="79">
        <v>24</v>
      </c>
      <c r="F6" s="79">
        <v>24</v>
      </c>
      <c r="G6" s="79">
        <v>4</v>
      </c>
      <c r="H6" s="79">
        <v>4</v>
      </c>
      <c r="I6" s="79">
        <v>4</v>
      </c>
      <c r="J6" s="79">
        <v>4</v>
      </c>
      <c r="K6" s="79">
        <v>2</v>
      </c>
      <c r="L6" s="79">
        <v>2</v>
      </c>
      <c r="M6" s="79">
        <v>2</v>
      </c>
      <c r="N6" s="79">
        <v>2</v>
      </c>
      <c r="O6" s="79">
        <v>0</v>
      </c>
      <c r="P6" s="79">
        <v>0</v>
      </c>
      <c r="Q6" s="19">
        <f>(D6+F6+H6+J6+L6+N6+P6)/(C6+E6+G6+I6+K6+M6+O6)</f>
        <v>1</v>
      </c>
      <c r="R6" s="19">
        <f>(D6+F6+H6+J6+L6+N6+P6)/($D$5+$F$5+$H$5+$J$5+$L$5+$N$5+$P$5)</f>
        <v>1</v>
      </c>
      <c r="S6" s="78">
        <v>2</v>
      </c>
      <c r="T6" s="79">
        <v>2</v>
      </c>
      <c r="U6" s="19">
        <f>T6/S6</f>
        <v>1</v>
      </c>
      <c r="V6" s="19">
        <f>T6/$T$5</f>
        <v>1</v>
      </c>
      <c r="W6" s="78">
        <v>9</v>
      </c>
      <c r="X6" s="79">
        <v>9</v>
      </c>
      <c r="Y6" s="79">
        <v>10</v>
      </c>
      <c r="Z6" s="79">
        <v>10</v>
      </c>
      <c r="AA6" s="20">
        <f>IF(W6=0,1,X6/W6)*W6/(W6+Y6)+IF(Y6=0,1,Z6/Y6)*Y6/(W6+Y6)</f>
        <v>1</v>
      </c>
      <c r="AB6" s="20">
        <f>IF($X$5=0,1,X6/$X$5)*$X$5/($X$5+$Z$5)+IF($Z$5=0,1,Z6/$Z$5)*$Z$5/($X$5+$Z$5)</f>
        <v>1</v>
      </c>
      <c r="AC6" s="22">
        <f>(Q6+U6+AA6)/3</f>
        <v>1</v>
      </c>
      <c r="AD6" s="19">
        <f>(R6+V6+AB6)/3</f>
        <v>1</v>
      </c>
      <c r="AE6" s="58">
        <v>0.14330000000000001</v>
      </c>
      <c r="AF6" s="59">
        <f>(AE6-$AE$16)^2</f>
        <v>2.6764960000000043E-4</v>
      </c>
      <c r="AG6" s="78">
        <v>52</v>
      </c>
      <c r="AH6" s="65">
        <f>(AG6-$AG$16)^2</f>
        <v>515.29000000000008</v>
      </c>
    </row>
    <row r="7" spans="1:34" x14ac:dyDescent="0.25">
      <c r="A7" s="3"/>
      <c r="B7">
        <v>2</v>
      </c>
      <c r="C7" s="78">
        <v>4</v>
      </c>
      <c r="D7" s="79">
        <v>4</v>
      </c>
      <c r="E7" s="79">
        <v>24</v>
      </c>
      <c r="F7" s="79">
        <v>24</v>
      </c>
      <c r="G7" s="79">
        <v>4</v>
      </c>
      <c r="H7" s="79">
        <v>4</v>
      </c>
      <c r="I7" s="79">
        <v>4</v>
      </c>
      <c r="J7" s="79">
        <v>4</v>
      </c>
      <c r="K7" s="79">
        <v>2</v>
      </c>
      <c r="L7" s="79">
        <v>2</v>
      </c>
      <c r="M7" s="79">
        <v>2</v>
      </c>
      <c r="N7" s="79">
        <v>2</v>
      </c>
      <c r="O7" s="79">
        <v>0</v>
      </c>
      <c r="P7" s="79">
        <v>0</v>
      </c>
      <c r="Q7" s="19">
        <f t="shared" ref="Q7:Q15" si="0">(D7+F7+H7+J7+L7+N7+P7)/(C7+E7+G7+I7+K7+M7+O7)</f>
        <v>1</v>
      </c>
      <c r="R7" s="19">
        <f t="shared" ref="R7:R15" si="1">(D7+F7+H7+J7+L7+N7+P7)/($D$5+$F$5+$H$5+$J$5+$L$5+$N$5+$P$5)</f>
        <v>1</v>
      </c>
      <c r="S7" s="78">
        <v>2</v>
      </c>
      <c r="T7" s="79">
        <v>2</v>
      </c>
      <c r="U7" s="19">
        <f t="shared" ref="U7:U15" si="2">T7/S7</f>
        <v>1</v>
      </c>
      <c r="V7" s="19">
        <f t="shared" ref="V7:V15" si="3">T7/$T$5</f>
        <v>1</v>
      </c>
      <c r="W7" s="78">
        <v>9</v>
      </c>
      <c r="X7" s="79">
        <v>9</v>
      </c>
      <c r="Y7" s="79">
        <v>10</v>
      </c>
      <c r="Z7" s="79">
        <v>10</v>
      </c>
      <c r="AA7" s="20">
        <f t="shared" ref="AA7:AA15" si="4">IF(W7=0,1,X7/W7)*W7/(W7+Y7)+IF(Y7=0,1,Z7/Y7)*Y7/(W7+Y7)</f>
        <v>1</v>
      </c>
      <c r="AB7" s="20">
        <f t="shared" ref="AB7:AB15" si="5">IF($X$5=0,1,X7/$X$5)*$X$5/($X$5+$Z$5)+IF($Z$5=0,1,Z7/$Z$5)*$Z$5/($X$5+$Z$5)</f>
        <v>1</v>
      </c>
      <c r="AC7" s="22">
        <f t="shared" ref="AC7:AD15" si="6">(Q7+U7+AA7)/3</f>
        <v>1</v>
      </c>
      <c r="AD7" s="19">
        <f t="shared" si="6"/>
        <v>1</v>
      </c>
      <c r="AE7" s="58">
        <v>0.12180000000000001</v>
      </c>
      <c r="AF7" s="59">
        <f t="shared" ref="AF7:AF15" si="7">(AE7-$AE$16)^2</f>
        <v>2.6419599999999916E-5</v>
      </c>
      <c r="AG7" s="78">
        <v>61</v>
      </c>
      <c r="AH7" s="65">
        <f t="shared" ref="AH7:AH15" si="8">(AG7-$AG$16)^2</f>
        <v>187.69000000000008</v>
      </c>
    </row>
    <row r="8" spans="1:34" x14ac:dyDescent="0.25">
      <c r="A8" s="3"/>
      <c r="B8">
        <v>3</v>
      </c>
      <c r="C8" s="78">
        <v>4</v>
      </c>
      <c r="D8" s="79">
        <v>4</v>
      </c>
      <c r="E8" s="79">
        <v>24</v>
      </c>
      <c r="F8" s="79">
        <v>24</v>
      </c>
      <c r="G8" s="79">
        <v>4</v>
      </c>
      <c r="H8" s="79">
        <v>4</v>
      </c>
      <c r="I8" s="79">
        <v>4</v>
      </c>
      <c r="J8" s="79">
        <v>4</v>
      </c>
      <c r="K8" s="79">
        <v>2</v>
      </c>
      <c r="L8" s="79">
        <v>2</v>
      </c>
      <c r="M8" s="79">
        <v>2</v>
      </c>
      <c r="N8" s="79">
        <v>2</v>
      </c>
      <c r="O8" s="79">
        <v>0</v>
      </c>
      <c r="P8" s="79">
        <v>0</v>
      </c>
      <c r="Q8" s="19">
        <f t="shared" si="0"/>
        <v>1</v>
      </c>
      <c r="R8" s="19">
        <f t="shared" si="1"/>
        <v>1</v>
      </c>
      <c r="S8" s="78">
        <v>2</v>
      </c>
      <c r="T8" s="79">
        <v>2</v>
      </c>
      <c r="U8" s="19">
        <f t="shared" si="2"/>
        <v>1</v>
      </c>
      <c r="V8" s="19">
        <f t="shared" si="3"/>
        <v>1</v>
      </c>
      <c r="W8" s="78">
        <v>9</v>
      </c>
      <c r="X8" s="79">
        <v>9</v>
      </c>
      <c r="Y8" s="79">
        <v>10</v>
      </c>
      <c r="Z8" s="79">
        <v>10</v>
      </c>
      <c r="AA8" s="20">
        <f t="shared" si="4"/>
        <v>1</v>
      </c>
      <c r="AB8" s="20">
        <f t="shared" si="5"/>
        <v>1</v>
      </c>
      <c r="AC8" s="22">
        <f t="shared" si="6"/>
        <v>1</v>
      </c>
      <c r="AD8" s="19">
        <f t="shared" si="6"/>
        <v>1</v>
      </c>
      <c r="AE8" s="58">
        <v>0.1222</v>
      </c>
      <c r="AF8" s="59">
        <f t="shared" si="7"/>
        <v>2.2467599999999944E-5</v>
      </c>
      <c r="AG8" s="78">
        <v>70</v>
      </c>
      <c r="AH8" s="65">
        <f t="shared" si="8"/>
        <v>22.090000000000028</v>
      </c>
    </row>
    <row r="9" spans="1:34" x14ac:dyDescent="0.25">
      <c r="A9" s="3"/>
      <c r="B9">
        <v>4</v>
      </c>
      <c r="C9" s="78">
        <v>4</v>
      </c>
      <c r="D9" s="79">
        <v>4</v>
      </c>
      <c r="E9" s="79">
        <v>24</v>
      </c>
      <c r="F9" s="79">
        <v>24</v>
      </c>
      <c r="G9" s="79">
        <v>4</v>
      </c>
      <c r="H9" s="79">
        <v>4</v>
      </c>
      <c r="I9" s="79">
        <v>4</v>
      </c>
      <c r="J9" s="79">
        <v>4</v>
      </c>
      <c r="K9" s="79">
        <v>2</v>
      </c>
      <c r="L9" s="79">
        <v>2</v>
      </c>
      <c r="M9" s="79">
        <v>2</v>
      </c>
      <c r="N9" s="79">
        <v>2</v>
      </c>
      <c r="O9" s="79">
        <v>0</v>
      </c>
      <c r="P9" s="79">
        <v>0</v>
      </c>
      <c r="Q9" s="19">
        <f t="shared" si="0"/>
        <v>1</v>
      </c>
      <c r="R9" s="19">
        <f t="shared" si="1"/>
        <v>1</v>
      </c>
      <c r="S9" s="78">
        <v>2</v>
      </c>
      <c r="T9" s="79">
        <v>2</v>
      </c>
      <c r="U9" s="19">
        <f t="shared" si="2"/>
        <v>1</v>
      </c>
      <c r="V9" s="19">
        <f t="shared" si="3"/>
        <v>1</v>
      </c>
      <c r="W9" s="78">
        <v>9</v>
      </c>
      <c r="X9" s="79">
        <v>9</v>
      </c>
      <c r="Y9" s="79">
        <v>10</v>
      </c>
      <c r="Z9" s="79">
        <v>10</v>
      </c>
      <c r="AA9" s="20">
        <f t="shared" si="4"/>
        <v>1</v>
      </c>
      <c r="AB9" s="20">
        <f t="shared" si="5"/>
        <v>1</v>
      </c>
      <c r="AC9" s="22">
        <f t="shared" si="6"/>
        <v>1</v>
      </c>
      <c r="AD9" s="19">
        <f t="shared" si="6"/>
        <v>1</v>
      </c>
      <c r="AE9" s="58">
        <v>0.11219999999999999</v>
      </c>
      <c r="AF9" s="59">
        <f t="shared" si="7"/>
        <v>2.1726760000000009E-4</v>
      </c>
      <c r="AG9" s="78">
        <v>61</v>
      </c>
      <c r="AH9" s="65">
        <f t="shared" si="8"/>
        <v>187.69000000000008</v>
      </c>
    </row>
    <row r="10" spans="1:34" x14ac:dyDescent="0.25">
      <c r="A10" s="3"/>
      <c r="B10">
        <v>5</v>
      </c>
      <c r="C10" s="78">
        <v>4</v>
      </c>
      <c r="D10" s="79">
        <v>4</v>
      </c>
      <c r="E10" s="79">
        <v>24</v>
      </c>
      <c r="F10" s="79">
        <v>24</v>
      </c>
      <c r="G10" s="79">
        <v>4</v>
      </c>
      <c r="H10" s="79">
        <v>4</v>
      </c>
      <c r="I10" s="79">
        <v>4</v>
      </c>
      <c r="J10" s="79">
        <v>4</v>
      </c>
      <c r="K10" s="79">
        <v>2</v>
      </c>
      <c r="L10" s="79">
        <v>2</v>
      </c>
      <c r="M10" s="79">
        <v>2</v>
      </c>
      <c r="N10" s="79">
        <v>2</v>
      </c>
      <c r="O10" s="79">
        <v>0</v>
      </c>
      <c r="P10" s="79">
        <v>0</v>
      </c>
      <c r="Q10" s="19">
        <f t="shared" si="0"/>
        <v>1</v>
      </c>
      <c r="R10" s="19">
        <f t="shared" si="1"/>
        <v>1</v>
      </c>
      <c r="S10" s="78">
        <v>2</v>
      </c>
      <c r="T10" s="79">
        <v>2</v>
      </c>
      <c r="U10" s="19">
        <f t="shared" si="2"/>
        <v>1</v>
      </c>
      <c r="V10" s="19">
        <f t="shared" si="3"/>
        <v>1</v>
      </c>
      <c r="W10" s="78">
        <v>9</v>
      </c>
      <c r="X10" s="79">
        <v>9</v>
      </c>
      <c r="Y10" s="79">
        <v>10</v>
      </c>
      <c r="Z10" s="79">
        <v>10</v>
      </c>
      <c r="AA10" s="20">
        <f t="shared" si="4"/>
        <v>1</v>
      </c>
      <c r="AB10" s="20">
        <f t="shared" si="5"/>
        <v>1</v>
      </c>
      <c r="AC10" s="22">
        <f t="shared" si="6"/>
        <v>1</v>
      </c>
      <c r="AD10" s="19">
        <f t="shared" si="6"/>
        <v>1</v>
      </c>
      <c r="AE10" s="58">
        <v>9.6699999999999994E-2</v>
      </c>
      <c r="AF10" s="59">
        <f t="shared" si="7"/>
        <v>9.1445760000000023E-4</v>
      </c>
      <c r="AG10" s="78">
        <v>54</v>
      </c>
      <c r="AH10" s="65">
        <f t="shared" si="8"/>
        <v>428.49000000000012</v>
      </c>
    </row>
    <row r="11" spans="1:34" x14ac:dyDescent="0.25">
      <c r="A11" s="3"/>
      <c r="B11">
        <v>6</v>
      </c>
      <c r="C11" s="78">
        <v>4</v>
      </c>
      <c r="D11" s="79">
        <v>4</v>
      </c>
      <c r="E11" s="79">
        <v>28</v>
      </c>
      <c r="F11" s="79">
        <v>24</v>
      </c>
      <c r="G11" s="79">
        <v>4</v>
      </c>
      <c r="H11" s="79">
        <v>4</v>
      </c>
      <c r="I11" s="79">
        <v>4</v>
      </c>
      <c r="J11" s="79">
        <v>4</v>
      </c>
      <c r="K11" s="79">
        <v>2</v>
      </c>
      <c r="L11" s="79">
        <v>2</v>
      </c>
      <c r="M11" s="79">
        <v>2</v>
      </c>
      <c r="N11" s="79">
        <v>2</v>
      </c>
      <c r="O11" s="79">
        <v>0</v>
      </c>
      <c r="P11" s="79">
        <v>0</v>
      </c>
      <c r="Q11" s="19">
        <f t="shared" si="0"/>
        <v>0.90909090909090906</v>
      </c>
      <c r="R11" s="19">
        <f t="shared" si="1"/>
        <v>1</v>
      </c>
      <c r="S11" s="78">
        <v>2</v>
      </c>
      <c r="T11" s="79">
        <v>2</v>
      </c>
      <c r="U11" s="19">
        <f t="shared" si="2"/>
        <v>1</v>
      </c>
      <c r="V11" s="19">
        <f t="shared" si="3"/>
        <v>1</v>
      </c>
      <c r="W11" s="78">
        <v>9</v>
      </c>
      <c r="X11" s="79">
        <v>9</v>
      </c>
      <c r="Y11" s="79">
        <v>9</v>
      </c>
      <c r="Z11" s="79">
        <v>9</v>
      </c>
      <c r="AA11" s="20">
        <f t="shared" si="4"/>
        <v>1</v>
      </c>
      <c r="AB11" s="20">
        <f t="shared" si="5"/>
        <v>0.94736842105263153</v>
      </c>
      <c r="AC11" s="22">
        <f t="shared" si="6"/>
        <v>0.96969696969696972</v>
      </c>
      <c r="AD11" s="19">
        <f t="shared" si="6"/>
        <v>0.98245614035087714</v>
      </c>
      <c r="AE11" s="58">
        <v>0.22939999999999999</v>
      </c>
      <c r="AF11" s="59">
        <f t="shared" si="7"/>
        <v>1.0498051599999999E-2</v>
      </c>
      <c r="AG11" s="78">
        <v>188</v>
      </c>
      <c r="AH11" s="65">
        <f t="shared" si="8"/>
        <v>12836.89</v>
      </c>
    </row>
    <row r="12" spans="1:34" x14ac:dyDescent="0.25">
      <c r="A12" s="3"/>
      <c r="B12">
        <v>7</v>
      </c>
      <c r="C12" s="78">
        <v>4</v>
      </c>
      <c r="D12" s="79">
        <v>4</v>
      </c>
      <c r="E12" s="79">
        <v>24</v>
      </c>
      <c r="F12" s="79">
        <v>24</v>
      </c>
      <c r="G12" s="79">
        <v>4</v>
      </c>
      <c r="H12" s="79">
        <v>4</v>
      </c>
      <c r="I12" s="79">
        <v>4</v>
      </c>
      <c r="J12" s="79">
        <v>4</v>
      </c>
      <c r="K12" s="79">
        <v>2</v>
      </c>
      <c r="L12" s="79">
        <v>2</v>
      </c>
      <c r="M12" s="79">
        <v>2</v>
      </c>
      <c r="N12" s="79">
        <v>2</v>
      </c>
      <c r="O12" s="79">
        <v>0</v>
      </c>
      <c r="P12" s="79">
        <v>0</v>
      </c>
      <c r="Q12" s="19">
        <f t="shared" si="0"/>
        <v>1</v>
      </c>
      <c r="R12" s="19">
        <f t="shared" si="1"/>
        <v>1</v>
      </c>
      <c r="S12" s="78">
        <v>2</v>
      </c>
      <c r="T12" s="79">
        <v>2</v>
      </c>
      <c r="U12" s="19">
        <f t="shared" si="2"/>
        <v>1</v>
      </c>
      <c r="V12" s="19">
        <f t="shared" si="3"/>
        <v>1</v>
      </c>
      <c r="W12" s="78">
        <v>9</v>
      </c>
      <c r="X12" s="79">
        <v>9</v>
      </c>
      <c r="Y12" s="79">
        <v>10</v>
      </c>
      <c r="Z12" s="79">
        <v>10</v>
      </c>
      <c r="AA12" s="20">
        <f t="shared" si="4"/>
        <v>1</v>
      </c>
      <c r="AB12" s="20">
        <f t="shared" si="5"/>
        <v>1</v>
      </c>
      <c r="AC12" s="22">
        <f t="shared" si="6"/>
        <v>1</v>
      </c>
      <c r="AD12" s="19">
        <f t="shared" si="6"/>
        <v>1</v>
      </c>
      <c r="AE12" s="58">
        <v>9.8000000000000004E-2</v>
      </c>
      <c r="AF12" s="59">
        <f t="shared" si="7"/>
        <v>8.3752359999999962E-4</v>
      </c>
      <c r="AG12" s="78">
        <v>62</v>
      </c>
      <c r="AH12" s="65">
        <f t="shared" si="8"/>
        <v>161.29000000000008</v>
      </c>
    </row>
    <row r="13" spans="1:34" x14ac:dyDescent="0.25">
      <c r="A13" s="3"/>
      <c r="B13">
        <v>8</v>
      </c>
      <c r="C13" s="78">
        <v>4</v>
      </c>
      <c r="D13" s="79">
        <v>4</v>
      </c>
      <c r="E13" s="79">
        <v>24</v>
      </c>
      <c r="F13" s="79">
        <v>24</v>
      </c>
      <c r="G13" s="79">
        <v>4</v>
      </c>
      <c r="H13" s="79">
        <v>4</v>
      </c>
      <c r="I13" s="79">
        <v>4</v>
      </c>
      <c r="J13" s="79">
        <v>4</v>
      </c>
      <c r="K13" s="79">
        <v>2</v>
      </c>
      <c r="L13" s="79">
        <v>2</v>
      </c>
      <c r="M13" s="79">
        <v>2</v>
      </c>
      <c r="N13" s="79">
        <v>2</v>
      </c>
      <c r="O13" s="79">
        <v>0</v>
      </c>
      <c r="P13" s="79">
        <v>0</v>
      </c>
      <c r="Q13" s="19">
        <f t="shared" si="0"/>
        <v>1</v>
      </c>
      <c r="R13" s="19">
        <f t="shared" si="1"/>
        <v>1</v>
      </c>
      <c r="S13" s="78">
        <v>11</v>
      </c>
      <c r="T13" s="79">
        <v>2</v>
      </c>
      <c r="U13" s="19">
        <f t="shared" si="2"/>
        <v>0.18181818181818182</v>
      </c>
      <c r="V13" s="19">
        <f t="shared" si="3"/>
        <v>1</v>
      </c>
      <c r="W13" s="78">
        <v>8</v>
      </c>
      <c r="X13" s="79">
        <v>8</v>
      </c>
      <c r="Y13" s="79">
        <v>10</v>
      </c>
      <c r="Z13" s="79">
        <v>10</v>
      </c>
      <c r="AA13" s="20">
        <f t="shared" si="4"/>
        <v>1</v>
      </c>
      <c r="AB13" s="20">
        <f t="shared" si="5"/>
        <v>0.94736842105263153</v>
      </c>
      <c r="AC13" s="22">
        <f t="shared" si="6"/>
        <v>0.72727272727272718</v>
      </c>
      <c r="AD13" s="19">
        <f t="shared" si="6"/>
        <v>0.98245614035087714</v>
      </c>
      <c r="AE13" s="58">
        <v>0.1323</v>
      </c>
      <c r="AF13" s="59">
        <f t="shared" si="7"/>
        <v>2.8729600000000037E-5</v>
      </c>
      <c r="AG13" s="78">
        <v>85</v>
      </c>
      <c r="AH13" s="65">
        <f t="shared" si="8"/>
        <v>106.08999999999995</v>
      </c>
    </row>
    <row r="14" spans="1:34" x14ac:dyDescent="0.25">
      <c r="A14" s="3"/>
      <c r="B14">
        <v>9</v>
      </c>
      <c r="C14" s="78">
        <v>4</v>
      </c>
      <c r="D14" s="79">
        <v>4</v>
      </c>
      <c r="E14" s="79">
        <v>24</v>
      </c>
      <c r="F14" s="79">
        <v>24</v>
      </c>
      <c r="G14" s="79">
        <v>4</v>
      </c>
      <c r="H14" s="79">
        <v>4</v>
      </c>
      <c r="I14" s="79">
        <v>4</v>
      </c>
      <c r="J14" s="79">
        <v>4</v>
      </c>
      <c r="K14" s="79">
        <v>2</v>
      </c>
      <c r="L14" s="79">
        <v>2</v>
      </c>
      <c r="M14" s="79">
        <v>2</v>
      </c>
      <c r="N14" s="79">
        <v>2</v>
      </c>
      <c r="O14" s="79">
        <v>0</v>
      </c>
      <c r="P14" s="79">
        <v>0</v>
      </c>
      <c r="Q14" s="19">
        <f t="shared" si="0"/>
        <v>1</v>
      </c>
      <c r="R14" s="19">
        <f t="shared" si="1"/>
        <v>1</v>
      </c>
      <c r="S14" s="78">
        <v>2</v>
      </c>
      <c r="T14" s="79">
        <v>2</v>
      </c>
      <c r="U14" s="19">
        <f t="shared" si="2"/>
        <v>1</v>
      </c>
      <c r="V14" s="19">
        <f t="shared" si="3"/>
        <v>1</v>
      </c>
      <c r="W14" s="78">
        <v>9</v>
      </c>
      <c r="X14" s="79">
        <v>9</v>
      </c>
      <c r="Y14" s="79">
        <v>10</v>
      </c>
      <c r="Z14" s="79">
        <v>10</v>
      </c>
      <c r="AA14" s="20">
        <f t="shared" si="4"/>
        <v>1</v>
      </c>
      <c r="AB14" s="20">
        <f t="shared" si="5"/>
        <v>1</v>
      </c>
      <c r="AC14" s="22">
        <f t="shared" si="6"/>
        <v>1</v>
      </c>
      <c r="AD14" s="19">
        <f t="shared" si="6"/>
        <v>1</v>
      </c>
      <c r="AE14" s="58">
        <v>9.2899999999999996E-2</v>
      </c>
      <c r="AF14" s="59">
        <f t="shared" si="7"/>
        <v>1.1587216000000001E-3</v>
      </c>
      <c r="AG14" s="78">
        <v>50</v>
      </c>
      <c r="AH14" s="65">
        <f t="shared" si="8"/>
        <v>610.09000000000015</v>
      </c>
    </row>
    <row r="15" spans="1:34" x14ac:dyDescent="0.25">
      <c r="A15" s="6"/>
      <c r="B15" s="8">
        <v>10</v>
      </c>
      <c r="C15" s="80">
        <v>4</v>
      </c>
      <c r="D15" s="81">
        <v>4</v>
      </c>
      <c r="E15" s="81">
        <v>24</v>
      </c>
      <c r="F15" s="81">
        <v>24</v>
      </c>
      <c r="G15" s="81">
        <v>4</v>
      </c>
      <c r="H15" s="81">
        <v>4</v>
      </c>
      <c r="I15" s="81">
        <v>4</v>
      </c>
      <c r="J15" s="81">
        <v>4</v>
      </c>
      <c r="K15" s="81">
        <v>2</v>
      </c>
      <c r="L15" s="81">
        <v>2</v>
      </c>
      <c r="M15" s="81">
        <v>2</v>
      </c>
      <c r="N15" s="81">
        <v>2</v>
      </c>
      <c r="O15" s="81">
        <v>0</v>
      </c>
      <c r="P15" s="81">
        <v>0</v>
      </c>
      <c r="Q15" s="24">
        <f t="shared" si="0"/>
        <v>1</v>
      </c>
      <c r="R15" s="24">
        <f t="shared" si="1"/>
        <v>1</v>
      </c>
      <c r="S15" s="80">
        <v>2</v>
      </c>
      <c r="T15" s="81">
        <v>2</v>
      </c>
      <c r="U15" s="24">
        <f t="shared" si="2"/>
        <v>1</v>
      </c>
      <c r="V15" s="24">
        <f t="shared" si="3"/>
        <v>1</v>
      </c>
      <c r="W15" s="80">
        <v>9</v>
      </c>
      <c r="X15" s="81">
        <v>9</v>
      </c>
      <c r="Y15" s="81">
        <v>10</v>
      </c>
      <c r="Z15" s="81">
        <v>10</v>
      </c>
      <c r="AA15" s="24">
        <f t="shared" si="4"/>
        <v>1</v>
      </c>
      <c r="AB15" s="24">
        <f t="shared" si="5"/>
        <v>1</v>
      </c>
      <c r="AC15" s="23">
        <f t="shared" si="6"/>
        <v>1</v>
      </c>
      <c r="AD15" s="24">
        <f t="shared" si="6"/>
        <v>1</v>
      </c>
      <c r="AE15" s="60">
        <v>0.1206</v>
      </c>
      <c r="AF15" s="46">
        <f t="shared" si="7"/>
        <v>4.0195599999999978E-5</v>
      </c>
      <c r="AG15" s="80">
        <v>64</v>
      </c>
      <c r="AH15" s="50">
        <f t="shared" si="8"/>
        <v>114.49000000000007</v>
      </c>
    </row>
    <row r="16" spans="1:34" ht="15.75" thickBot="1" x14ac:dyDescent="0.3">
      <c r="A16" s="35"/>
      <c r="B16" s="30"/>
      <c r="C16" s="32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3"/>
      <c r="R16" s="33"/>
      <c r="S16" s="32"/>
      <c r="T16" s="30"/>
      <c r="U16" s="33"/>
      <c r="V16" s="33"/>
      <c r="W16" s="32"/>
      <c r="X16" s="30"/>
      <c r="Y16" s="30"/>
      <c r="Z16" s="30"/>
      <c r="AA16" s="33"/>
      <c r="AB16" s="33"/>
      <c r="AC16" s="36">
        <f>AVERAGE(AC6:AC15)</f>
        <v>0.96969696969696972</v>
      </c>
      <c r="AD16" s="37">
        <f>AVERAGE(AD6:AD15)</f>
        <v>0.99649122807017532</v>
      </c>
      <c r="AE16" s="61">
        <f>AVERAGE(AE6:AE15)</f>
        <v>0.12694</v>
      </c>
      <c r="AF16" s="41">
        <f>SQRT(AVERAGE(AF6:AF15))</f>
        <v>3.7431916862485148E-2</v>
      </c>
      <c r="AG16" s="67">
        <f>AVERAGE(AG6:AG15)</f>
        <v>74.7</v>
      </c>
      <c r="AH16" s="42">
        <f>SQRT(AVERAGE(AH6:AH15))</f>
        <v>38.948812562130826</v>
      </c>
    </row>
    <row r="17" spans="1:34" x14ac:dyDescent="0.25">
      <c r="A17" s="3" t="s">
        <v>17</v>
      </c>
      <c r="B17">
        <v>1</v>
      </c>
      <c r="C17" s="78">
        <v>4</v>
      </c>
      <c r="D17" s="79">
        <v>4</v>
      </c>
      <c r="E17" s="79">
        <v>24</v>
      </c>
      <c r="F17" s="79">
        <v>24</v>
      </c>
      <c r="G17" s="79">
        <v>4</v>
      </c>
      <c r="H17" s="79">
        <v>4</v>
      </c>
      <c r="I17" s="79">
        <v>4</v>
      </c>
      <c r="J17" s="79">
        <v>4</v>
      </c>
      <c r="K17" s="79">
        <v>2</v>
      </c>
      <c r="L17" s="79">
        <v>2</v>
      </c>
      <c r="M17" s="79">
        <v>2</v>
      </c>
      <c r="N17" s="79">
        <v>2</v>
      </c>
      <c r="O17" s="79">
        <v>0</v>
      </c>
      <c r="P17" s="79">
        <v>0</v>
      </c>
      <c r="Q17" s="19">
        <f>(D17+F17+H17+J17+L17+N17+P17)/(C17+E17+G17+I17+K17+M17+O17)</f>
        <v>1</v>
      </c>
      <c r="R17" s="19">
        <f>(D17+F17+H17+J17+L17+N17+P17)/($D$5+$F$5+$H$5+$J$5+$L$5+$N$5+$P$5)</f>
        <v>1</v>
      </c>
      <c r="S17" s="78">
        <v>3</v>
      </c>
      <c r="T17" s="79">
        <v>2</v>
      </c>
      <c r="U17" s="19">
        <f>T17/S17</f>
        <v>0.66666666666666663</v>
      </c>
      <c r="V17" s="19">
        <f>T17/$T$5</f>
        <v>1</v>
      </c>
      <c r="W17" s="78">
        <v>9</v>
      </c>
      <c r="X17" s="79">
        <v>9</v>
      </c>
      <c r="Y17" s="79">
        <v>10</v>
      </c>
      <c r="Z17" s="79">
        <v>10</v>
      </c>
      <c r="AA17" s="20">
        <f>IF(W17=0,1,X17/W17)*W17/(W17+Y17)+IF(Y17=0,1,Z17/Y17)*Y17/(W17+Y17)</f>
        <v>1</v>
      </c>
      <c r="AB17" s="20">
        <f>IF($X$5=0,1,X17/$X$5)*$X$5/($X$5+$Z$5)+IF($Z$5=0,1,Z17/$Z$5)*$Z$5/($X$5+$Z$5)</f>
        <v>1</v>
      </c>
      <c r="AC17" s="22">
        <f>(Q17+U17+AA17)/3</f>
        <v>0.88888888888888884</v>
      </c>
      <c r="AD17" s="19">
        <f>(R17+V17+AB17)/3</f>
        <v>1</v>
      </c>
      <c r="AE17" s="58">
        <v>0.17899999999999999</v>
      </c>
      <c r="AF17" s="59">
        <f>(AE17-$AE$27)^2</f>
        <v>4.9818240000000025E-4</v>
      </c>
      <c r="AG17" s="78">
        <v>79</v>
      </c>
      <c r="AH17" s="65">
        <f>(AG17-$AG$27)^2</f>
        <v>761.75999999999965</v>
      </c>
    </row>
    <row r="18" spans="1:34" x14ac:dyDescent="0.25">
      <c r="A18" s="3"/>
      <c r="B18">
        <v>2</v>
      </c>
      <c r="C18" s="78">
        <v>4</v>
      </c>
      <c r="D18" s="79">
        <v>4</v>
      </c>
      <c r="E18" s="79">
        <v>24</v>
      </c>
      <c r="F18" s="79">
        <v>24</v>
      </c>
      <c r="G18" s="79">
        <v>4</v>
      </c>
      <c r="H18" s="79">
        <v>4</v>
      </c>
      <c r="I18" s="79">
        <v>4</v>
      </c>
      <c r="J18" s="79">
        <v>4</v>
      </c>
      <c r="K18" s="79">
        <v>2</v>
      </c>
      <c r="L18" s="79">
        <v>2</v>
      </c>
      <c r="M18" s="79">
        <v>2</v>
      </c>
      <c r="N18" s="79">
        <v>2</v>
      </c>
      <c r="O18" s="79">
        <v>0</v>
      </c>
      <c r="P18" s="79">
        <v>0</v>
      </c>
      <c r="Q18" s="19">
        <f t="shared" ref="Q18:Q26" si="9">(D18+F18+H18+J18+L18+N18+P18)/(C18+E18+G18+I18+K18+M18+O18)</f>
        <v>1</v>
      </c>
      <c r="R18" s="19">
        <f t="shared" ref="R18:R26" si="10">(D18+F18+H18+J18+L18+N18+P18)/($D$5+$F$5+$H$5+$J$5+$L$5+$N$5+$P$5)</f>
        <v>1</v>
      </c>
      <c r="S18" s="78">
        <v>4</v>
      </c>
      <c r="T18" s="79">
        <v>2</v>
      </c>
      <c r="U18" s="19">
        <f t="shared" ref="U18:U26" si="11">T18/S18</f>
        <v>0.5</v>
      </c>
      <c r="V18" s="19">
        <f t="shared" ref="V18:V26" si="12">T18/$T$5</f>
        <v>1</v>
      </c>
      <c r="W18" s="78">
        <v>9</v>
      </c>
      <c r="X18" s="79">
        <v>9</v>
      </c>
      <c r="Y18" s="79">
        <v>10</v>
      </c>
      <c r="Z18" s="79">
        <v>10</v>
      </c>
      <c r="AA18" s="20">
        <f t="shared" ref="AA18:AA26" si="13">IF(W18=0,1,X18/W18)*W18/(W18+Y18)+IF(Y18=0,1,Z18/Y18)*Y18/(W18+Y18)</f>
        <v>1</v>
      </c>
      <c r="AB18" s="20">
        <f t="shared" ref="AB18:AB26" si="14">IF($X$5=0,1,X18/$X$5)*$X$5/($X$5+$Z$5)+IF($Z$5=0,1,Z18/$Z$5)*$Z$5/($X$5+$Z$5)</f>
        <v>1</v>
      </c>
      <c r="AC18" s="22">
        <f t="shared" ref="AC18:AD26" si="15">(Q18+U18+AA18)/3</f>
        <v>0.83333333333333337</v>
      </c>
      <c r="AD18" s="19">
        <f t="shared" si="15"/>
        <v>1</v>
      </c>
      <c r="AE18" s="58">
        <v>0.17860000000000001</v>
      </c>
      <c r="AF18" s="59">
        <f t="shared" ref="AF18:AF26" si="16">(AE18-$AE$27)^2</f>
        <v>5.1619839999999953E-4</v>
      </c>
      <c r="AG18" s="78">
        <v>81</v>
      </c>
      <c r="AH18" s="65">
        <f t="shared" ref="AH18:AH26" si="17">(AG18-$AG$27)^2</f>
        <v>655.35999999999967</v>
      </c>
    </row>
    <row r="19" spans="1:34" x14ac:dyDescent="0.25">
      <c r="A19" s="3"/>
      <c r="B19">
        <v>3</v>
      </c>
      <c r="C19" s="78">
        <v>4</v>
      </c>
      <c r="D19" s="79">
        <v>4</v>
      </c>
      <c r="E19" s="79">
        <v>24</v>
      </c>
      <c r="F19" s="79">
        <v>24</v>
      </c>
      <c r="G19" s="79">
        <v>4</v>
      </c>
      <c r="H19" s="79">
        <v>4</v>
      </c>
      <c r="I19" s="79">
        <v>4</v>
      </c>
      <c r="J19" s="79">
        <v>4</v>
      </c>
      <c r="K19" s="79">
        <v>2</v>
      </c>
      <c r="L19" s="79">
        <v>2</v>
      </c>
      <c r="M19" s="79">
        <v>2</v>
      </c>
      <c r="N19" s="79">
        <v>2</v>
      </c>
      <c r="O19" s="79">
        <v>53</v>
      </c>
      <c r="P19" s="79">
        <v>0</v>
      </c>
      <c r="Q19" s="19">
        <f t="shared" si="9"/>
        <v>0.43010752688172044</v>
      </c>
      <c r="R19" s="19">
        <f t="shared" si="10"/>
        <v>1</v>
      </c>
      <c r="S19" s="78">
        <v>3</v>
      </c>
      <c r="T19" s="79">
        <v>2</v>
      </c>
      <c r="U19" s="19">
        <f t="shared" si="11"/>
        <v>0.66666666666666663</v>
      </c>
      <c r="V19" s="19">
        <f t="shared" si="12"/>
        <v>1</v>
      </c>
      <c r="W19" s="78">
        <v>9</v>
      </c>
      <c r="X19" s="79">
        <v>9</v>
      </c>
      <c r="Y19" s="79">
        <v>10</v>
      </c>
      <c r="Z19" s="79">
        <v>10</v>
      </c>
      <c r="AA19" s="20">
        <f t="shared" si="13"/>
        <v>1</v>
      </c>
      <c r="AB19" s="20">
        <f t="shared" si="14"/>
        <v>1</v>
      </c>
      <c r="AC19" s="22">
        <f t="shared" si="15"/>
        <v>0.69892473118279563</v>
      </c>
      <c r="AD19" s="19">
        <f t="shared" si="15"/>
        <v>1</v>
      </c>
      <c r="AE19" s="58">
        <v>0.215</v>
      </c>
      <c r="AF19" s="59">
        <f t="shared" si="16"/>
        <v>1.8714239999999992E-4</v>
      </c>
      <c r="AG19" s="78">
        <v>97</v>
      </c>
      <c r="AH19" s="65">
        <f t="shared" si="17"/>
        <v>92.159999999999897</v>
      </c>
    </row>
    <row r="20" spans="1:34" x14ac:dyDescent="0.25">
      <c r="A20" s="3"/>
      <c r="B20">
        <v>4</v>
      </c>
      <c r="C20" s="78">
        <v>4</v>
      </c>
      <c r="D20" s="79">
        <v>4</v>
      </c>
      <c r="E20" s="79">
        <v>24</v>
      </c>
      <c r="F20" s="79">
        <v>24</v>
      </c>
      <c r="G20" s="79">
        <v>4</v>
      </c>
      <c r="H20" s="79">
        <v>4</v>
      </c>
      <c r="I20" s="79">
        <v>4</v>
      </c>
      <c r="J20" s="79">
        <v>4</v>
      </c>
      <c r="K20" s="79">
        <v>2</v>
      </c>
      <c r="L20" s="79">
        <v>2</v>
      </c>
      <c r="M20" s="79">
        <v>2</v>
      </c>
      <c r="N20" s="79">
        <v>2</v>
      </c>
      <c r="O20" s="79">
        <v>0</v>
      </c>
      <c r="P20" s="79">
        <v>0</v>
      </c>
      <c r="Q20" s="19">
        <f t="shared" si="9"/>
        <v>1</v>
      </c>
      <c r="R20" s="19">
        <f t="shared" si="10"/>
        <v>1</v>
      </c>
      <c r="S20" s="78">
        <v>3</v>
      </c>
      <c r="T20" s="79">
        <v>2</v>
      </c>
      <c r="U20" s="19">
        <f t="shared" si="11"/>
        <v>0.66666666666666663</v>
      </c>
      <c r="V20" s="19">
        <f t="shared" si="12"/>
        <v>1</v>
      </c>
      <c r="W20" s="78">
        <v>9</v>
      </c>
      <c r="X20" s="79">
        <v>9</v>
      </c>
      <c r="Y20" s="79">
        <v>10</v>
      </c>
      <c r="Z20" s="79">
        <v>10</v>
      </c>
      <c r="AA20" s="20">
        <f t="shared" si="13"/>
        <v>1</v>
      </c>
      <c r="AB20" s="20">
        <f t="shared" si="14"/>
        <v>1</v>
      </c>
      <c r="AC20" s="22">
        <f t="shared" si="15"/>
        <v>0.88888888888888884</v>
      </c>
      <c r="AD20" s="19">
        <f t="shared" si="15"/>
        <v>1</v>
      </c>
      <c r="AE20" s="58">
        <v>0.1948</v>
      </c>
      <c r="AF20" s="59">
        <f t="shared" si="16"/>
        <v>4.2510399999999972E-5</v>
      </c>
      <c r="AG20" s="78">
        <v>88</v>
      </c>
      <c r="AH20" s="65">
        <f t="shared" si="17"/>
        <v>345.95999999999981</v>
      </c>
    </row>
    <row r="21" spans="1:34" x14ac:dyDescent="0.25">
      <c r="A21" s="3"/>
      <c r="B21">
        <v>5</v>
      </c>
      <c r="C21" s="78">
        <v>4</v>
      </c>
      <c r="D21" s="79">
        <v>4</v>
      </c>
      <c r="E21" s="79">
        <v>24</v>
      </c>
      <c r="F21" s="79">
        <v>24</v>
      </c>
      <c r="G21" s="79">
        <v>4</v>
      </c>
      <c r="H21" s="79">
        <v>4</v>
      </c>
      <c r="I21" s="79">
        <v>4</v>
      </c>
      <c r="J21" s="79">
        <v>4</v>
      </c>
      <c r="K21" s="79">
        <v>2</v>
      </c>
      <c r="L21" s="79">
        <v>2</v>
      </c>
      <c r="M21" s="79">
        <v>2</v>
      </c>
      <c r="N21" s="79">
        <v>2</v>
      </c>
      <c r="O21" s="79">
        <v>0</v>
      </c>
      <c r="P21" s="79">
        <v>0</v>
      </c>
      <c r="Q21" s="19">
        <f t="shared" si="9"/>
        <v>1</v>
      </c>
      <c r="R21" s="19">
        <f t="shared" si="10"/>
        <v>1</v>
      </c>
      <c r="S21" s="78">
        <v>4</v>
      </c>
      <c r="T21" s="79">
        <v>2</v>
      </c>
      <c r="U21" s="19">
        <f t="shared" si="11"/>
        <v>0.5</v>
      </c>
      <c r="V21" s="19">
        <f t="shared" si="12"/>
        <v>1</v>
      </c>
      <c r="W21" s="78">
        <v>9</v>
      </c>
      <c r="X21" s="79">
        <v>9</v>
      </c>
      <c r="Y21" s="79">
        <v>10</v>
      </c>
      <c r="Z21" s="79">
        <v>10</v>
      </c>
      <c r="AA21" s="20">
        <f t="shared" si="13"/>
        <v>1</v>
      </c>
      <c r="AB21" s="20">
        <f t="shared" si="14"/>
        <v>1</v>
      </c>
      <c r="AC21" s="22">
        <f t="shared" si="15"/>
        <v>0.83333333333333337</v>
      </c>
      <c r="AD21" s="19">
        <f t="shared" si="15"/>
        <v>1</v>
      </c>
      <c r="AE21" s="58">
        <v>0.14280000000000001</v>
      </c>
      <c r="AF21" s="59">
        <f t="shared" si="16"/>
        <v>3.4245903999999988E-3</v>
      </c>
      <c r="AG21" s="78">
        <v>76</v>
      </c>
      <c r="AH21" s="65">
        <f t="shared" si="17"/>
        <v>936.35999999999967</v>
      </c>
    </row>
    <row r="22" spans="1:34" x14ac:dyDescent="0.25">
      <c r="A22" s="3"/>
      <c r="B22">
        <v>6</v>
      </c>
      <c r="C22" s="78">
        <v>4</v>
      </c>
      <c r="D22" s="79">
        <v>4</v>
      </c>
      <c r="E22" s="79">
        <v>24</v>
      </c>
      <c r="F22" s="79">
        <v>24</v>
      </c>
      <c r="G22" s="79">
        <v>4</v>
      </c>
      <c r="H22" s="79">
        <v>4</v>
      </c>
      <c r="I22" s="79">
        <v>4</v>
      </c>
      <c r="J22" s="79">
        <v>4</v>
      </c>
      <c r="K22" s="79">
        <v>2</v>
      </c>
      <c r="L22" s="79">
        <v>2</v>
      </c>
      <c r="M22" s="79">
        <v>2</v>
      </c>
      <c r="N22" s="79">
        <v>2</v>
      </c>
      <c r="O22" s="79">
        <v>0</v>
      </c>
      <c r="P22" s="79">
        <v>0</v>
      </c>
      <c r="Q22" s="19">
        <f t="shared" si="9"/>
        <v>1</v>
      </c>
      <c r="R22" s="19">
        <f t="shared" si="10"/>
        <v>1</v>
      </c>
      <c r="S22" s="78">
        <v>3</v>
      </c>
      <c r="T22" s="79">
        <v>2</v>
      </c>
      <c r="U22" s="19">
        <f t="shared" si="11"/>
        <v>0.66666666666666663</v>
      </c>
      <c r="V22" s="19">
        <f t="shared" si="12"/>
        <v>1</v>
      </c>
      <c r="W22" s="78">
        <v>9</v>
      </c>
      <c r="X22" s="79">
        <v>9</v>
      </c>
      <c r="Y22" s="79">
        <v>10</v>
      </c>
      <c r="Z22" s="79">
        <v>10</v>
      </c>
      <c r="AA22" s="20">
        <f t="shared" si="13"/>
        <v>1</v>
      </c>
      <c r="AB22" s="20">
        <f t="shared" si="14"/>
        <v>1</v>
      </c>
      <c r="AC22" s="22">
        <f t="shared" si="15"/>
        <v>0.88888888888888884</v>
      </c>
      <c r="AD22" s="19">
        <f t="shared" si="15"/>
        <v>1</v>
      </c>
      <c r="AE22" s="58">
        <v>0.1769</v>
      </c>
      <c r="AF22" s="59">
        <f t="shared" si="16"/>
        <v>5.9633639999999986E-4</v>
      </c>
      <c r="AG22" s="78">
        <v>78</v>
      </c>
      <c r="AH22" s="65">
        <f t="shared" si="17"/>
        <v>817.9599999999997</v>
      </c>
    </row>
    <row r="23" spans="1:34" x14ac:dyDescent="0.25">
      <c r="A23" s="3"/>
      <c r="B23">
        <v>7</v>
      </c>
      <c r="C23" s="78">
        <v>4</v>
      </c>
      <c r="D23" s="79">
        <v>4</v>
      </c>
      <c r="E23" s="79">
        <v>24</v>
      </c>
      <c r="F23" s="79">
        <v>24</v>
      </c>
      <c r="G23" s="79">
        <v>4</v>
      </c>
      <c r="H23" s="79">
        <v>4</v>
      </c>
      <c r="I23" s="79">
        <v>4</v>
      </c>
      <c r="J23" s="79">
        <v>4</v>
      </c>
      <c r="K23" s="79">
        <v>2</v>
      </c>
      <c r="L23" s="79">
        <v>2</v>
      </c>
      <c r="M23" s="79">
        <v>2</v>
      </c>
      <c r="N23" s="79">
        <v>2</v>
      </c>
      <c r="O23" s="79">
        <v>0</v>
      </c>
      <c r="P23" s="79">
        <v>0</v>
      </c>
      <c r="Q23" s="19">
        <f t="shared" si="9"/>
        <v>1</v>
      </c>
      <c r="R23" s="19">
        <f t="shared" si="10"/>
        <v>1</v>
      </c>
      <c r="S23" s="78">
        <v>2</v>
      </c>
      <c r="T23" s="79">
        <v>2</v>
      </c>
      <c r="U23" s="19">
        <f t="shared" si="11"/>
        <v>1</v>
      </c>
      <c r="V23" s="19">
        <f t="shared" si="12"/>
        <v>1</v>
      </c>
      <c r="W23" s="78">
        <v>6</v>
      </c>
      <c r="X23" s="79">
        <v>6</v>
      </c>
      <c r="Y23" s="79">
        <v>9</v>
      </c>
      <c r="Z23" s="79">
        <v>9</v>
      </c>
      <c r="AA23" s="20">
        <f t="shared" si="13"/>
        <v>1</v>
      </c>
      <c r="AB23" s="20">
        <f t="shared" si="14"/>
        <v>0.78947368421052633</v>
      </c>
      <c r="AC23" s="22">
        <f t="shared" si="15"/>
        <v>1</v>
      </c>
      <c r="AD23" s="19">
        <f t="shared" si="15"/>
        <v>0.92982456140350889</v>
      </c>
      <c r="AE23" s="58">
        <v>0.3533</v>
      </c>
      <c r="AF23" s="59">
        <f t="shared" si="16"/>
        <v>2.3097920400000003E-2</v>
      </c>
      <c r="AG23" s="78">
        <v>240</v>
      </c>
      <c r="AH23" s="65">
        <f t="shared" si="17"/>
        <v>17795.560000000001</v>
      </c>
    </row>
    <row r="24" spans="1:34" x14ac:dyDescent="0.25">
      <c r="A24" s="3"/>
      <c r="B24">
        <v>8</v>
      </c>
      <c r="C24" s="78">
        <v>4</v>
      </c>
      <c r="D24" s="79">
        <v>4</v>
      </c>
      <c r="E24" s="79">
        <v>24</v>
      </c>
      <c r="F24" s="79">
        <v>24</v>
      </c>
      <c r="G24" s="79">
        <v>4</v>
      </c>
      <c r="H24" s="79">
        <v>4</v>
      </c>
      <c r="I24" s="79">
        <v>4</v>
      </c>
      <c r="J24" s="79">
        <v>4</v>
      </c>
      <c r="K24" s="79">
        <v>2</v>
      </c>
      <c r="L24" s="79">
        <v>2</v>
      </c>
      <c r="M24" s="79">
        <v>2</v>
      </c>
      <c r="N24" s="79">
        <v>2</v>
      </c>
      <c r="O24" s="79">
        <v>0</v>
      </c>
      <c r="P24" s="79">
        <v>0</v>
      </c>
      <c r="Q24" s="19">
        <f t="shared" si="9"/>
        <v>1</v>
      </c>
      <c r="R24" s="19">
        <f t="shared" si="10"/>
        <v>1</v>
      </c>
      <c r="S24" s="78">
        <v>2</v>
      </c>
      <c r="T24" s="79">
        <v>2</v>
      </c>
      <c r="U24" s="19">
        <f t="shared" si="11"/>
        <v>1</v>
      </c>
      <c r="V24" s="19">
        <f t="shared" si="12"/>
        <v>1</v>
      </c>
      <c r="W24" s="78">
        <v>9</v>
      </c>
      <c r="X24" s="79">
        <v>9</v>
      </c>
      <c r="Y24" s="79">
        <v>10</v>
      </c>
      <c r="Z24" s="79">
        <v>10</v>
      </c>
      <c r="AA24" s="20">
        <f t="shared" si="13"/>
        <v>1</v>
      </c>
      <c r="AB24" s="20">
        <f t="shared" si="14"/>
        <v>1</v>
      </c>
      <c r="AC24" s="22">
        <f t="shared" si="15"/>
        <v>1</v>
      </c>
      <c r="AD24" s="19">
        <f t="shared" si="15"/>
        <v>1</v>
      </c>
      <c r="AE24" s="58">
        <v>0.121</v>
      </c>
      <c r="AF24" s="59">
        <f t="shared" si="16"/>
        <v>6.4513024E-3</v>
      </c>
      <c r="AG24" s="78">
        <v>54</v>
      </c>
      <c r="AH24" s="65">
        <f t="shared" si="17"/>
        <v>2766.7599999999993</v>
      </c>
    </row>
    <row r="25" spans="1:34" x14ac:dyDescent="0.25">
      <c r="A25" s="3"/>
      <c r="B25">
        <v>9</v>
      </c>
      <c r="C25" s="78">
        <v>4</v>
      </c>
      <c r="D25" s="79">
        <v>4</v>
      </c>
      <c r="E25" s="79">
        <v>24</v>
      </c>
      <c r="F25" s="79">
        <v>24</v>
      </c>
      <c r="G25" s="79">
        <v>4</v>
      </c>
      <c r="H25" s="79">
        <v>4</v>
      </c>
      <c r="I25" s="79">
        <v>4</v>
      </c>
      <c r="J25" s="79">
        <v>4</v>
      </c>
      <c r="K25" s="79">
        <v>2</v>
      </c>
      <c r="L25" s="79">
        <v>2</v>
      </c>
      <c r="M25" s="79">
        <v>2</v>
      </c>
      <c r="N25" s="79">
        <v>2</v>
      </c>
      <c r="O25" s="79">
        <v>0</v>
      </c>
      <c r="P25" s="79">
        <v>0</v>
      </c>
      <c r="Q25" s="19">
        <f t="shared" si="9"/>
        <v>1</v>
      </c>
      <c r="R25" s="19">
        <f t="shared" si="10"/>
        <v>1</v>
      </c>
      <c r="S25" s="78">
        <v>2</v>
      </c>
      <c r="T25" s="79">
        <v>2</v>
      </c>
      <c r="U25" s="19">
        <f t="shared" si="11"/>
        <v>1</v>
      </c>
      <c r="V25" s="19">
        <f t="shared" si="12"/>
        <v>1</v>
      </c>
      <c r="W25" s="78">
        <v>9</v>
      </c>
      <c r="X25" s="79">
        <v>9</v>
      </c>
      <c r="Y25" s="79">
        <v>10</v>
      </c>
      <c r="Z25" s="79">
        <v>10</v>
      </c>
      <c r="AA25" s="20">
        <f t="shared" si="13"/>
        <v>1</v>
      </c>
      <c r="AB25" s="20">
        <f t="shared" si="14"/>
        <v>1</v>
      </c>
      <c r="AC25" s="22">
        <f t="shared" si="15"/>
        <v>1</v>
      </c>
      <c r="AD25" s="19">
        <f t="shared" si="15"/>
        <v>1</v>
      </c>
      <c r="AE25" s="58">
        <v>0.26769999999999999</v>
      </c>
      <c r="AF25" s="59">
        <f t="shared" si="16"/>
        <v>4.406304399999999E-3</v>
      </c>
      <c r="AG25" s="78">
        <v>162</v>
      </c>
      <c r="AH25" s="65">
        <f t="shared" si="17"/>
        <v>3069.1600000000008</v>
      </c>
    </row>
    <row r="26" spans="1:34" x14ac:dyDescent="0.25">
      <c r="A26" s="6"/>
      <c r="B26" s="8">
        <v>10</v>
      </c>
      <c r="C26" s="80">
        <v>4</v>
      </c>
      <c r="D26" s="81">
        <v>4</v>
      </c>
      <c r="E26" s="81">
        <v>24</v>
      </c>
      <c r="F26" s="81">
        <v>24</v>
      </c>
      <c r="G26" s="81">
        <v>4</v>
      </c>
      <c r="H26" s="81">
        <v>4</v>
      </c>
      <c r="I26" s="81">
        <v>4</v>
      </c>
      <c r="J26" s="81">
        <v>4</v>
      </c>
      <c r="K26" s="81">
        <v>2</v>
      </c>
      <c r="L26" s="81">
        <v>2</v>
      </c>
      <c r="M26" s="81">
        <v>2</v>
      </c>
      <c r="N26" s="81">
        <v>2</v>
      </c>
      <c r="O26" s="81">
        <v>0</v>
      </c>
      <c r="P26" s="81">
        <v>0</v>
      </c>
      <c r="Q26" s="24">
        <f t="shared" si="9"/>
        <v>1</v>
      </c>
      <c r="R26" s="24">
        <f t="shared" si="10"/>
        <v>1</v>
      </c>
      <c r="S26" s="80">
        <v>4</v>
      </c>
      <c r="T26" s="81">
        <v>2</v>
      </c>
      <c r="U26" s="24">
        <f t="shared" si="11"/>
        <v>0.5</v>
      </c>
      <c r="V26" s="24">
        <f t="shared" si="12"/>
        <v>1</v>
      </c>
      <c r="W26" s="80">
        <v>9</v>
      </c>
      <c r="X26" s="81">
        <v>9</v>
      </c>
      <c r="Y26" s="81">
        <v>10</v>
      </c>
      <c r="Z26" s="81">
        <v>10</v>
      </c>
      <c r="AA26" s="24">
        <f t="shared" si="13"/>
        <v>1</v>
      </c>
      <c r="AB26" s="24">
        <f t="shared" si="14"/>
        <v>1</v>
      </c>
      <c r="AC26" s="23">
        <f t="shared" si="15"/>
        <v>0.83333333333333337</v>
      </c>
      <c r="AD26" s="24">
        <f t="shared" si="15"/>
        <v>1</v>
      </c>
      <c r="AE26" s="60">
        <v>0.18410000000000001</v>
      </c>
      <c r="AF26" s="46">
        <f t="shared" si="16"/>
        <v>2.9652839999999949E-4</v>
      </c>
      <c r="AG26" s="80">
        <v>111</v>
      </c>
      <c r="AH26" s="50">
        <f t="shared" si="17"/>
        <v>19.360000000000049</v>
      </c>
    </row>
    <row r="27" spans="1:34" ht="15.75" thickBot="1" x14ac:dyDescent="0.3">
      <c r="A27" s="35"/>
      <c r="B27" s="30"/>
      <c r="C27" s="32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3"/>
      <c r="R27" s="33"/>
      <c r="S27" s="32"/>
      <c r="T27" s="30"/>
      <c r="U27" s="33"/>
      <c r="V27" s="33"/>
      <c r="W27" s="32"/>
      <c r="X27" s="30"/>
      <c r="Y27" s="30"/>
      <c r="Z27" s="30"/>
      <c r="AA27" s="33"/>
      <c r="AB27" s="33"/>
      <c r="AC27" s="36">
        <f>AVERAGE(AC17:AC26)</f>
        <v>0.88655913978494616</v>
      </c>
      <c r="AD27" s="37">
        <f>AVERAGE(AD17:AD26)</f>
        <v>0.99298245614035086</v>
      </c>
      <c r="AE27" s="61">
        <f>AVERAGE(AE17:AE26)</f>
        <v>0.20132</v>
      </c>
      <c r="AF27" s="41">
        <f>SQRT(AVERAGE(AF17:AF26))</f>
        <v>6.2862561195038816E-2</v>
      </c>
      <c r="AG27" s="67">
        <f>AVERAGE(AG17:AG26)</f>
        <v>106.6</v>
      </c>
      <c r="AH27" s="42">
        <f>SQRT(AVERAGE(AH17:AH26))</f>
        <v>52.211492987655504</v>
      </c>
    </row>
    <row r="28" spans="1:34" x14ac:dyDescent="0.25">
      <c r="A28" s="3" t="s">
        <v>18</v>
      </c>
      <c r="B28">
        <v>1</v>
      </c>
      <c r="C28" s="78">
        <v>4</v>
      </c>
      <c r="D28" s="79">
        <v>4</v>
      </c>
      <c r="E28" s="79">
        <v>24</v>
      </c>
      <c r="F28" s="79">
        <v>24</v>
      </c>
      <c r="G28" s="79">
        <v>4</v>
      </c>
      <c r="H28" s="79">
        <v>4</v>
      </c>
      <c r="I28" s="79">
        <v>4</v>
      </c>
      <c r="J28" s="79">
        <v>4</v>
      </c>
      <c r="K28" s="79">
        <v>2</v>
      </c>
      <c r="L28" s="79">
        <v>2</v>
      </c>
      <c r="M28" s="79">
        <v>2</v>
      </c>
      <c r="N28" s="79">
        <v>2</v>
      </c>
      <c r="O28" s="79">
        <v>0</v>
      </c>
      <c r="P28" s="79">
        <v>0</v>
      </c>
      <c r="Q28" s="19">
        <f>(D28+F28+H28+J28+L28+N28+P28)/(C28+E28+G28+I28+K28+M28+O28)</f>
        <v>1</v>
      </c>
      <c r="R28" s="19">
        <f>(D28+F28+H28+J28+L28+N28+P28)/($D$5+$F$5+$H$5+$J$5+$L$5+$N$5+$P$5)</f>
        <v>1</v>
      </c>
      <c r="S28" s="78">
        <v>2</v>
      </c>
      <c r="T28" s="79">
        <v>2</v>
      </c>
      <c r="U28" s="19">
        <f>T28/S28</f>
        <v>1</v>
      </c>
      <c r="V28" s="19">
        <f>T28/$T$5</f>
        <v>1</v>
      </c>
      <c r="W28" s="78">
        <v>9</v>
      </c>
      <c r="X28" s="79">
        <v>9</v>
      </c>
      <c r="Y28" s="79">
        <v>10</v>
      </c>
      <c r="Z28" s="79">
        <v>10</v>
      </c>
      <c r="AA28" s="20">
        <f>IF(W28=0,1,X28/W28)*W28/(W28+Y28)+IF(Y28=0,1,Z28/Y28)*Y28/(W28+Y28)</f>
        <v>1</v>
      </c>
      <c r="AB28" s="20">
        <f>IF($X$5=0,1,X28/$X$5)*$X$5/($X$5+$Z$5)+IF($Z$5=0,1,Z28/$Z$5)*$Z$5/($X$5+$Z$5)</f>
        <v>1</v>
      </c>
      <c r="AC28" s="22">
        <f>(Q28+U28+AA28)/3</f>
        <v>1</v>
      </c>
      <c r="AD28" s="19">
        <f>(R28+V28+AB28)/3</f>
        <v>1</v>
      </c>
      <c r="AE28" s="58">
        <v>0.1103</v>
      </c>
      <c r="AF28" s="59">
        <f>(AE28-$AE$38)^2</f>
        <v>2.9070250000000033E-4</v>
      </c>
      <c r="AG28" s="78">
        <v>32</v>
      </c>
      <c r="AH28" s="65">
        <f>(AG28-$AG$38)^2</f>
        <v>148.84000000000006</v>
      </c>
    </row>
    <row r="29" spans="1:34" x14ac:dyDescent="0.25">
      <c r="A29" s="3"/>
      <c r="B29">
        <v>2</v>
      </c>
      <c r="C29" s="78">
        <v>4</v>
      </c>
      <c r="D29" s="79">
        <v>4</v>
      </c>
      <c r="E29" s="79">
        <v>24</v>
      </c>
      <c r="F29" s="79">
        <v>24</v>
      </c>
      <c r="G29" s="79">
        <v>4</v>
      </c>
      <c r="H29" s="79">
        <v>4</v>
      </c>
      <c r="I29" s="79">
        <v>4</v>
      </c>
      <c r="J29" s="79">
        <v>4</v>
      </c>
      <c r="K29" s="79">
        <v>2</v>
      </c>
      <c r="L29" s="79">
        <v>2</v>
      </c>
      <c r="M29" s="79">
        <v>2</v>
      </c>
      <c r="N29" s="79">
        <v>2</v>
      </c>
      <c r="O29" s="79">
        <v>0</v>
      </c>
      <c r="P29" s="79">
        <v>0</v>
      </c>
      <c r="Q29" s="19">
        <f t="shared" ref="Q29:Q37" si="18">(D29+F29+H29+J29+L29+N29+P29)/(C29+E29+G29+I29+K29+M29+O29)</f>
        <v>1</v>
      </c>
      <c r="R29" s="19">
        <f t="shared" ref="R29:R37" si="19">(D29+F29+H29+J29+L29+N29+P29)/($D$5+$F$5+$H$5+$J$5+$L$5+$N$5+$P$5)</f>
        <v>1</v>
      </c>
      <c r="S29" s="78">
        <v>2</v>
      </c>
      <c r="T29" s="79">
        <v>2</v>
      </c>
      <c r="U29" s="19">
        <f t="shared" ref="U29:U37" si="20">T29/S29</f>
        <v>1</v>
      </c>
      <c r="V29" s="19">
        <f t="shared" ref="V29:V37" si="21">T29/$T$5</f>
        <v>1</v>
      </c>
      <c r="W29" s="78">
        <v>9</v>
      </c>
      <c r="X29" s="79">
        <v>9</v>
      </c>
      <c r="Y29" s="79">
        <v>10</v>
      </c>
      <c r="Z29" s="79">
        <v>10</v>
      </c>
      <c r="AA29" s="20">
        <f t="shared" ref="AA29:AA37" si="22">IF(W29=0,1,X29/W29)*W29/(W29+Y29)+IF(Y29=0,1,Z29/Y29)*Y29/(W29+Y29)</f>
        <v>1</v>
      </c>
      <c r="AB29" s="20">
        <f t="shared" ref="AB29:AB37" si="23">IF($X$5=0,1,X29/$X$5)*$X$5/($X$5+$Z$5)+IF($Z$5=0,1,Z29/$Z$5)*$Z$5/($X$5+$Z$5)</f>
        <v>1</v>
      </c>
      <c r="AC29" s="22">
        <f t="shared" ref="AC29:AD37" si="24">(Q29+U29+AA29)/3</f>
        <v>1</v>
      </c>
      <c r="AD29" s="19">
        <f t="shared" si="24"/>
        <v>1</v>
      </c>
      <c r="AE29" s="58">
        <v>7.7200000000000005E-2</v>
      </c>
      <c r="AF29" s="59">
        <f t="shared" ref="AF29:AF37" si="25">(AE29-$AE$38)^2</f>
        <v>2.5760249999999936E-4</v>
      </c>
      <c r="AG29" s="78">
        <v>39</v>
      </c>
      <c r="AH29" s="65">
        <f t="shared" ref="AH29:AH37" si="26">(AG29-$AG$38)^2</f>
        <v>27.040000000000031</v>
      </c>
    </row>
    <row r="30" spans="1:34" x14ac:dyDescent="0.25">
      <c r="A30" s="3"/>
      <c r="B30">
        <v>3</v>
      </c>
      <c r="C30" s="78">
        <v>4</v>
      </c>
      <c r="D30" s="79">
        <v>4</v>
      </c>
      <c r="E30" s="79">
        <v>24</v>
      </c>
      <c r="F30" s="79">
        <v>24</v>
      </c>
      <c r="G30" s="79">
        <v>4</v>
      </c>
      <c r="H30" s="79">
        <v>4</v>
      </c>
      <c r="I30" s="79">
        <v>4</v>
      </c>
      <c r="J30" s="79">
        <v>4</v>
      </c>
      <c r="K30" s="79">
        <v>2</v>
      </c>
      <c r="L30" s="79">
        <v>2</v>
      </c>
      <c r="M30" s="79">
        <v>2</v>
      </c>
      <c r="N30" s="79">
        <v>2</v>
      </c>
      <c r="O30" s="79">
        <v>0</v>
      </c>
      <c r="P30" s="79">
        <v>0</v>
      </c>
      <c r="Q30" s="19">
        <f t="shared" si="18"/>
        <v>1</v>
      </c>
      <c r="R30" s="19">
        <f t="shared" si="19"/>
        <v>1</v>
      </c>
      <c r="S30" s="78">
        <v>2</v>
      </c>
      <c r="T30" s="79">
        <v>2</v>
      </c>
      <c r="U30" s="19">
        <f t="shared" si="20"/>
        <v>1</v>
      </c>
      <c r="V30" s="19">
        <f t="shared" si="21"/>
        <v>1</v>
      </c>
      <c r="W30" s="78">
        <v>9</v>
      </c>
      <c r="X30" s="79">
        <v>9</v>
      </c>
      <c r="Y30" s="79">
        <v>10</v>
      </c>
      <c r="Z30" s="79">
        <v>10</v>
      </c>
      <c r="AA30" s="20">
        <f t="shared" si="22"/>
        <v>1</v>
      </c>
      <c r="AB30" s="20">
        <f t="shared" si="23"/>
        <v>1</v>
      </c>
      <c r="AC30" s="22">
        <f t="shared" si="24"/>
        <v>1</v>
      </c>
      <c r="AD30" s="19">
        <f t="shared" si="24"/>
        <v>1</v>
      </c>
      <c r="AE30" s="58">
        <v>9.2899999999999996E-2</v>
      </c>
      <c r="AF30" s="59">
        <f t="shared" si="25"/>
        <v>1.2249999999999245E-7</v>
      </c>
      <c r="AG30" s="78">
        <v>46</v>
      </c>
      <c r="AH30" s="65">
        <f t="shared" si="26"/>
        <v>3.2399999999999896</v>
      </c>
    </row>
    <row r="31" spans="1:34" x14ac:dyDescent="0.25">
      <c r="A31" s="3"/>
      <c r="B31">
        <v>4</v>
      </c>
      <c r="C31" s="78">
        <v>4</v>
      </c>
      <c r="D31" s="79">
        <v>4</v>
      </c>
      <c r="E31" s="79">
        <v>24</v>
      </c>
      <c r="F31" s="79">
        <v>24</v>
      </c>
      <c r="G31" s="79">
        <v>4</v>
      </c>
      <c r="H31" s="79">
        <v>4</v>
      </c>
      <c r="I31" s="79">
        <v>4</v>
      </c>
      <c r="J31" s="79">
        <v>4</v>
      </c>
      <c r="K31" s="79">
        <v>2</v>
      </c>
      <c r="L31" s="79">
        <v>2</v>
      </c>
      <c r="M31" s="79">
        <v>2</v>
      </c>
      <c r="N31" s="79">
        <v>2</v>
      </c>
      <c r="O31" s="79">
        <v>0</v>
      </c>
      <c r="P31" s="79">
        <v>0</v>
      </c>
      <c r="Q31" s="19">
        <f t="shared" si="18"/>
        <v>1</v>
      </c>
      <c r="R31" s="19">
        <f t="shared" si="19"/>
        <v>1</v>
      </c>
      <c r="S31" s="78">
        <v>2</v>
      </c>
      <c r="T31" s="79">
        <v>2</v>
      </c>
      <c r="U31" s="19">
        <f t="shared" si="20"/>
        <v>1</v>
      </c>
      <c r="V31" s="19">
        <f t="shared" si="21"/>
        <v>1</v>
      </c>
      <c r="W31" s="78">
        <v>9</v>
      </c>
      <c r="X31" s="79">
        <v>9</v>
      </c>
      <c r="Y31" s="79">
        <v>10</v>
      </c>
      <c r="Z31" s="79">
        <v>10</v>
      </c>
      <c r="AA31" s="20">
        <f t="shared" si="22"/>
        <v>1</v>
      </c>
      <c r="AB31" s="20">
        <f t="shared" si="23"/>
        <v>1</v>
      </c>
      <c r="AC31" s="22">
        <f t="shared" si="24"/>
        <v>1</v>
      </c>
      <c r="AD31" s="19">
        <f t="shared" si="24"/>
        <v>1</v>
      </c>
      <c r="AE31" s="58">
        <v>0.10059999999999999</v>
      </c>
      <c r="AF31" s="59">
        <f t="shared" si="25"/>
        <v>5.4022500000000135E-5</v>
      </c>
      <c r="AG31" s="78">
        <v>48</v>
      </c>
      <c r="AH31" s="65">
        <f t="shared" si="26"/>
        <v>14.439999999999978</v>
      </c>
    </row>
    <row r="32" spans="1:34" x14ac:dyDescent="0.25">
      <c r="A32" s="3"/>
      <c r="B32">
        <v>5</v>
      </c>
      <c r="C32" s="78">
        <v>4</v>
      </c>
      <c r="D32" s="79">
        <v>4</v>
      </c>
      <c r="E32" s="79">
        <v>24</v>
      </c>
      <c r="F32" s="79">
        <v>24</v>
      </c>
      <c r="G32" s="79">
        <v>4</v>
      </c>
      <c r="H32" s="79">
        <v>4</v>
      </c>
      <c r="I32" s="79">
        <v>4</v>
      </c>
      <c r="J32" s="79">
        <v>4</v>
      </c>
      <c r="K32" s="79">
        <v>2</v>
      </c>
      <c r="L32" s="79">
        <v>2</v>
      </c>
      <c r="M32" s="79">
        <v>2</v>
      </c>
      <c r="N32" s="79">
        <v>2</v>
      </c>
      <c r="O32" s="79">
        <v>0</v>
      </c>
      <c r="P32" s="79">
        <v>0</v>
      </c>
      <c r="Q32" s="19">
        <f t="shared" si="18"/>
        <v>1</v>
      </c>
      <c r="R32" s="19">
        <f t="shared" si="19"/>
        <v>1</v>
      </c>
      <c r="S32" s="78">
        <v>2</v>
      </c>
      <c r="T32" s="79">
        <v>2</v>
      </c>
      <c r="U32" s="19">
        <f t="shared" si="20"/>
        <v>1</v>
      </c>
      <c r="V32" s="19">
        <f t="shared" si="21"/>
        <v>1</v>
      </c>
      <c r="W32" s="78">
        <v>9</v>
      </c>
      <c r="X32" s="79">
        <v>9</v>
      </c>
      <c r="Y32" s="79">
        <v>10</v>
      </c>
      <c r="Z32" s="79">
        <v>10</v>
      </c>
      <c r="AA32" s="20">
        <f t="shared" si="22"/>
        <v>1</v>
      </c>
      <c r="AB32" s="20">
        <f t="shared" si="23"/>
        <v>1</v>
      </c>
      <c r="AC32" s="22">
        <f t="shared" si="24"/>
        <v>1</v>
      </c>
      <c r="AD32" s="19">
        <f t="shared" si="24"/>
        <v>1</v>
      </c>
      <c r="AE32" s="58">
        <v>8.14E-2</v>
      </c>
      <c r="AF32" s="59">
        <f t="shared" si="25"/>
        <v>1.4042249999999965E-4</v>
      </c>
      <c r="AG32" s="78">
        <v>41</v>
      </c>
      <c r="AH32" s="65">
        <f t="shared" si="26"/>
        <v>10.240000000000018</v>
      </c>
    </row>
    <row r="33" spans="1:34" x14ac:dyDescent="0.25">
      <c r="A33" s="3"/>
      <c r="B33">
        <v>6</v>
      </c>
      <c r="C33" s="78">
        <v>4</v>
      </c>
      <c r="D33" s="79">
        <v>4</v>
      </c>
      <c r="E33" s="79">
        <v>24</v>
      </c>
      <c r="F33" s="79">
        <v>24</v>
      </c>
      <c r="G33" s="79">
        <v>4</v>
      </c>
      <c r="H33" s="79">
        <v>4</v>
      </c>
      <c r="I33" s="79">
        <v>4</v>
      </c>
      <c r="J33" s="79">
        <v>4</v>
      </c>
      <c r="K33" s="79">
        <v>2</v>
      </c>
      <c r="L33" s="79">
        <v>2</v>
      </c>
      <c r="M33" s="79">
        <v>2</v>
      </c>
      <c r="N33" s="79">
        <v>2</v>
      </c>
      <c r="O33" s="79">
        <v>0</v>
      </c>
      <c r="P33" s="79">
        <v>0</v>
      </c>
      <c r="Q33" s="19">
        <f t="shared" si="18"/>
        <v>1</v>
      </c>
      <c r="R33" s="19">
        <f t="shared" si="19"/>
        <v>1</v>
      </c>
      <c r="S33" s="78">
        <v>2</v>
      </c>
      <c r="T33" s="79">
        <v>2</v>
      </c>
      <c r="U33" s="19">
        <f t="shared" si="20"/>
        <v>1</v>
      </c>
      <c r="V33" s="19">
        <f t="shared" si="21"/>
        <v>1</v>
      </c>
      <c r="W33" s="78">
        <v>9</v>
      </c>
      <c r="X33" s="79">
        <v>9</v>
      </c>
      <c r="Y33" s="79">
        <v>10</v>
      </c>
      <c r="Z33" s="79">
        <v>10</v>
      </c>
      <c r="AA33" s="20">
        <f t="shared" si="22"/>
        <v>1</v>
      </c>
      <c r="AB33" s="20">
        <f t="shared" si="23"/>
        <v>1</v>
      </c>
      <c r="AC33" s="22">
        <f t="shared" si="24"/>
        <v>1</v>
      </c>
      <c r="AD33" s="19">
        <f t="shared" si="24"/>
        <v>1</v>
      </c>
      <c r="AE33" s="58">
        <v>0.10009999999999999</v>
      </c>
      <c r="AF33" s="59">
        <f t="shared" si="25"/>
        <v>4.6922500000000119E-5</v>
      </c>
      <c r="AG33" s="78">
        <v>46</v>
      </c>
      <c r="AH33" s="65">
        <f t="shared" si="26"/>
        <v>3.2399999999999896</v>
      </c>
    </row>
    <row r="34" spans="1:34" x14ac:dyDescent="0.25">
      <c r="A34" s="3"/>
      <c r="B34">
        <v>7</v>
      </c>
      <c r="C34" s="78">
        <v>4</v>
      </c>
      <c r="D34" s="79">
        <v>4</v>
      </c>
      <c r="E34" s="79">
        <v>24</v>
      </c>
      <c r="F34" s="79">
        <v>24</v>
      </c>
      <c r="G34" s="79">
        <v>4</v>
      </c>
      <c r="H34" s="79">
        <v>4</v>
      </c>
      <c r="I34" s="79">
        <v>4</v>
      </c>
      <c r="J34" s="79">
        <v>4</v>
      </c>
      <c r="K34" s="79">
        <v>2</v>
      </c>
      <c r="L34" s="79">
        <v>2</v>
      </c>
      <c r="M34" s="79">
        <v>2</v>
      </c>
      <c r="N34" s="79">
        <v>2</v>
      </c>
      <c r="O34" s="79">
        <v>0</v>
      </c>
      <c r="P34" s="79">
        <v>0</v>
      </c>
      <c r="Q34" s="19">
        <f t="shared" si="18"/>
        <v>1</v>
      </c>
      <c r="R34" s="19">
        <f t="shared" si="19"/>
        <v>1</v>
      </c>
      <c r="S34" s="78">
        <v>2</v>
      </c>
      <c r="T34" s="79">
        <v>2</v>
      </c>
      <c r="U34" s="19">
        <f t="shared" si="20"/>
        <v>1</v>
      </c>
      <c r="V34" s="19">
        <f t="shared" si="21"/>
        <v>1</v>
      </c>
      <c r="W34" s="78">
        <v>9</v>
      </c>
      <c r="X34" s="79">
        <v>9</v>
      </c>
      <c r="Y34" s="79">
        <v>10</v>
      </c>
      <c r="Z34" s="79">
        <v>10</v>
      </c>
      <c r="AA34" s="20">
        <f t="shared" si="22"/>
        <v>1</v>
      </c>
      <c r="AB34" s="20">
        <f t="shared" si="23"/>
        <v>1</v>
      </c>
      <c r="AC34" s="22">
        <f t="shared" si="24"/>
        <v>1</v>
      </c>
      <c r="AD34" s="19">
        <f t="shared" si="24"/>
        <v>1</v>
      </c>
      <c r="AE34" s="58">
        <v>0.1007</v>
      </c>
      <c r="AF34" s="59">
        <f t="shared" si="25"/>
        <v>5.5502500000000182E-5</v>
      </c>
      <c r="AG34" s="78">
        <v>55</v>
      </c>
      <c r="AH34" s="65">
        <f t="shared" si="26"/>
        <v>116.63999999999994</v>
      </c>
    </row>
    <row r="35" spans="1:34" x14ac:dyDescent="0.25">
      <c r="A35" s="3"/>
      <c r="B35">
        <v>8</v>
      </c>
      <c r="C35" s="78">
        <v>4</v>
      </c>
      <c r="D35" s="79">
        <v>4</v>
      </c>
      <c r="E35" s="79">
        <v>24</v>
      </c>
      <c r="F35" s="79">
        <v>24</v>
      </c>
      <c r="G35" s="79">
        <v>4</v>
      </c>
      <c r="H35" s="79">
        <v>4</v>
      </c>
      <c r="I35" s="79">
        <v>4</v>
      </c>
      <c r="J35" s="79">
        <v>4</v>
      </c>
      <c r="K35" s="79">
        <v>2</v>
      </c>
      <c r="L35" s="79">
        <v>2</v>
      </c>
      <c r="M35" s="79">
        <v>2</v>
      </c>
      <c r="N35" s="79">
        <v>2</v>
      </c>
      <c r="O35" s="79">
        <v>0</v>
      </c>
      <c r="P35" s="79">
        <v>0</v>
      </c>
      <c r="Q35" s="19">
        <f t="shared" si="18"/>
        <v>1</v>
      </c>
      <c r="R35" s="19">
        <f t="shared" si="19"/>
        <v>1</v>
      </c>
      <c r="S35" s="78">
        <v>2</v>
      </c>
      <c r="T35" s="79">
        <v>2</v>
      </c>
      <c r="U35" s="19">
        <f t="shared" si="20"/>
        <v>1</v>
      </c>
      <c r="V35" s="19">
        <f t="shared" si="21"/>
        <v>1</v>
      </c>
      <c r="W35" s="78">
        <v>9</v>
      </c>
      <c r="X35" s="79">
        <v>9</v>
      </c>
      <c r="Y35" s="79">
        <v>10</v>
      </c>
      <c r="Z35" s="79">
        <v>10</v>
      </c>
      <c r="AA35" s="20">
        <f t="shared" si="22"/>
        <v>1</v>
      </c>
      <c r="AB35" s="20">
        <f t="shared" si="23"/>
        <v>1</v>
      </c>
      <c r="AC35" s="22">
        <f t="shared" si="24"/>
        <v>1</v>
      </c>
      <c r="AD35" s="19">
        <f t="shared" si="24"/>
        <v>1</v>
      </c>
      <c r="AE35" s="58">
        <v>8.72E-2</v>
      </c>
      <c r="AF35" s="59">
        <f t="shared" si="25"/>
        <v>3.6602499999999831E-5</v>
      </c>
      <c r="AG35" s="78">
        <v>43</v>
      </c>
      <c r="AH35" s="65">
        <f t="shared" si="26"/>
        <v>1.4400000000000068</v>
      </c>
    </row>
    <row r="36" spans="1:34" x14ac:dyDescent="0.25">
      <c r="A36" s="3"/>
      <c r="B36">
        <v>9</v>
      </c>
      <c r="C36" s="78">
        <v>4</v>
      </c>
      <c r="D36" s="79">
        <v>4</v>
      </c>
      <c r="E36" s="79">
        <v>24</v>
      </c>
      <c r="F36" s="79">
        <v>24</v>
      </c>
      <c r="G36" s="79">
        <v>4</v>
      </c>
      <c r="H36" s="79">
        <v>4</v>
      </c>
      <c r="I36" s="79">
        <v>4</v>
      </c>
      <c r="J36" s="79">
        <v>4</v>
      </c>
      <c r="K36" s="79">
        <v>2</v>
      </c>
      <c r="L36" s="79">
        <v>2</v>
      </c>
      <c r="M36" s="79">
        <v>2</v>
      </c>
      <c r="N36" s="79">
        <v>2</v>
      </c>
      <c r="O36" s="79">
        <v>0</v>
      </c>
      <c r="P36" s="79">
        <v>0</v>
      </c>
      <c r="Q36" s="19">
        <f t="shared" si="18"/>
        <v>1</v>
      </c>
      <c r="R36" s="19">
        <f t="shared" si="19"/>
        <v>1</v>
      </c>
      <c r="S36" s="78">
        <v>2</v>
      </c>
      <c r="T36" s="79">
        <v>2</v>
      </c>
      <c r="U36" s="19">
        <f t="shared" si="20"/>
        <v>1</v>
      </c>
      <c r="V36" s="19">
        <f t="shared" si="21"/>
        <v>1</v>
      </c>
      <c r="W36" s="78">
        <v>9</v>
      </c>
      <c r="X36" s="79">
        <v>9</v>
      </c>
      <c r="Y36" s="79">
        <v>10</v>
      </c>
      <c r="Z36" s="79">
        <v>10</v>
      </c>
      <c r="AA36" s="20">
        <f t="shared" si="22"/>
        <v>1</v>
      </c>
      <c r="AB36" s="20">
        <f t="shared" si="23"/>
        <v>1</v>
      </c>
      <c r="AC36" s="22">
        <f t="shared" si="24"/>
        <v>1</v>
      </c>
      <c r="AD36" s="19">
        <f t="shared" si="24"/>
        <v>1</v>
      </c>
      <c r="AE36" s="58">
        <v>8.7900000000000006E-2</v>
      </c>
      <c r="AF36" s="59">
        <f t="shared" si="25"/>
        <v>2.8622499999999782E-5</v>
      </c>
      <c r="AG36" s="78">
        <v>42</v>
      </c>
      <c r="AH36" s="65">
        <f t="shared" si="26"/>
        <v>4.8400000000000123</v>
      </c>
    </row>
    <row r="37" spans="1:34" x14ac:dyDescent="0.25">
      <c r="A37" s="6"/>
      <c r="B37" s="8">
        <v>10</v>
      </c>
      <c r="C37" s="80">
        <v>4</v>
      </c>
      <c r="D37" s="81">
        <v>4</v>
      </c>
      <c r="E37" s="81">
        <v>24</v>
      </c>
      <c r="F37" s="81">
        <v>24</v>
      </c>
      <c r="G37" s="81">
        <v>4</v>
      </c>
      <c r="H37" s="81">
        <v>4</v>
      </c>
      <c r="I37" s="81">
        <v>4</v>
      </c>
      <c r="J37" s="81">
        <v>4</v>
      </c>
      <c r="K37" s="81">
        <v>2</v>
      </c>
      <c r="L37" s="81">
        <v>2</v>
      </c>
      <c r="M37" s="81">
        <v>2</v>
      </c>
      <c r="N37" s="81">
        <v>2</v>
      </c>
      <c r="O37" s="81">
        <v>0</v>
      </c>
      <c r="P37" s="81">
        <v>0</v>
      </c>
      <c r="Q37" s="24">
        <f t="shared" si="18"/>
        <v>1</v>
      </c>
      <c r="R37" s="24">
        <f t="shared" si="19"/>
        <v>1</v>
      </c>
      <c r="S37" s="80">
        <v>2</v>
      </c>
      <c r="T37" s="81">
        <v>2</v>
      </c>
      <c r="U37" s="24">
        <f t="shared" si="20"/>
        <v>1</v>
      </c>
      <c r="V37" s="24">
        <f t="shared" si="21"/>
        <v>1</v>
      </c>
      <c r="W37" s="80">
        <v>9</v>
      </c>
      <c r="X37" s="81">
        <v>9</v>
      </c>
      <c r="Y37" s="81">
        <v>10</v>
      </c>
      <c r="Z37" s="81">
        <v>10</v>
      </c>
      <c r="AA37" s="24">
        <f t="shared" si="22"/>
        <v>1</v>
      </c>
      <c r="AB37" s="24">
        <f t="shared" si="23"/>
        <v>1</v>
      </c>
      <c r="AC37" s="23">
        <f t="shared" si="24"/>
        <v>1</v>
      </c>
      <c r="AD37" s="24">
        <f t="shared" si="24"/>
        <v>1</v>
      </c>
      <c r="AE37" s="60">
        <v>9.4200000000000006E-2</v>
      </c>
      <c r="AF37" s="46">
        <f t="shared" si="25"/>
        <v>9.0250000000003848E-7</v>
      </c>
      <c r="AG37" s="80">
        <v>50</v>
      </c>
      <c r="AH37" s="50">
        <f t="shared" si="26"/>
        <v>33.639999999999965</v>
      </c>
    </row>
    <row r="38" spans="1:34" ht="15.75" thickBot="1" x14ac:dyDescent="0.3">
      <c r="A38" s="35"/>
      <c r="B38" s="30"/>
      <c r="C38" s="32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3"/>
      <c r="R38" s="33"/>
      <c r="S38" s="32"/>
      <c r="T38" s="30"/>
      <c r="U38" s="33"/>
      <c r="V38" s="33"/>
      <c r="W38" s="32"/>
      <c r="X38" s="30"/>
      <c r="Y38" s="30"/>
      <c r="Z38" s="30"/>
      <c r="AA38" s="33"/>
      <c r="AB38" s="33"/>
      <c r="AC38" s="36">
        <f>AVERAGE(AC28:AC37)</f>
        <v>1</v>
      </c>
      <c r="AD38" s="37">
        <f>AVERAGE(AD28:AD37)</f>
        <v>1</v>
      </c>
      <c r="AE38" s="61">
        <f>AVERAGE(AE28:AE37)</f>
        <v>9.3249999999999986E-2</v>
      </c>
      <c r="AF38" s="41">
        <f>SQRT(AVERAGE(AF28:AF37))</f>
        <v>9.5468581219163365E-3</v>
      </c>
      <c r="AG38" s="67">
        <f>AVERAGE(AG28:AG37)</f>
        <v>44.2</v>
      </c>
      <c r="AH38" s="42">
        <f>SQRT(AVERAGE(AH28:AH37))</f>
        <v>6.0299253726725341</v>
      </c>
    </row>
    <row r="42" spans="1:34" x14ac:dyDescent="0.25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38"/>
      <c r="K42" s="38"/>
      <c r="L42" s="38"/>
    </row>
    <row r="43" spans="1:34" x14ac:dyDescent="0.25">
      <c r="A43" s="2" t="s">
        <v>15</v>
      </c>
      <c r="B43" s="3" t="s">
        <v>0</v>
      </c>
      <c r="C43" s="14" t="s">
        <v>29</v>
      </c>
      <c r="D43" s="4"/>
      <c r="E43" s="4"/>
      <c r="F43" s="52" t="s">
        <v>24</v>
      </c>
      <c r="G43" s="3"/>
      <c r="H43" s="52" t="s">
        <v>25</v>
      </c>
      <c r="I43" s="3"/>
    </row>
    <row r="44" spans="1:34" x14ac:dyDescent="0.25">
      <c r="A44" s="2"/>
      <c r="B44" s="3"/>
      <c r="C44" s="52" t="s">
        <v>30</v>
      </c>
      <c r="D44" s="3" t="s">
        <v>31</v>
      </c>
      <c r="E44" s="3" t="s">
        <v>32</v>
      </c>
      <c r="F44" s="52"/>
      <c r="G44" s="3"/>
      <c r="H44" s="52"/>
      <c r="I44" s="3"/>
    </row>
    <row r="45" spans="1:34" x14ac:dyDescent="0.25">
      <c r="A45" s="6"/>
      <c r="B45" s="6"/>
      <c r="C45" s="53"/>
      <c r="D45" s="6"/>
      <c r="E45" s="6"/>
      <c r="F45" s="56" t="s">
        <v>26</v>
      </c>
      <c r="G45" s="43" t="s">
        <v>27</v>
      </c>
      <c r="H45" s="62" t="s">
        <v>26</v>
      </c>
      <c r="I45" s="47" t="s">
        <v>27</v>
      </c>
    </row>
    <row r="46" spans="1:34" ht="15.75" thickBot="1" x14ac:dyDescent="0.3">
      <c r="A46" s="30"/>
      <c r="B46" s="31"/>
      <c r="C46" s="55" t="s">
        <v>33</v>
      </c>
      <c r="D46" s="51">
        <v>87</v>
      </c>
      <c r="E46" s="51"/>
      <c r="F46" s="32"/>
      <c r="G46" s="30"/>
      <c r="H46" s="32"/>
      <c r="I46" s="30"/>
    </row>
    <row r="47" spans="1:34" x14ac:dyDescent="0.25">
      <c r="A47" s="3" t="s">
        <v>16</v>
      </c>
      <c r="B47">
        <v>1</v>
      </c>
      <c r="C47" s="78">
        <v>0</v>
      </c>
      <c r="D47" s="79">
        <v>6</v>
      </c>
      <c r="E47" s="82">
        <v>0</v>
      </c>
      <c r="F47" s="58">
        <v>1.77</v>
      </c>
      <c r="G47" s="59">
        <f>(F47-$F$57)^2</f>
        <v>0.331264197530864</v>
      </c>
      <c r="H47" s="78">
        <v>1104</v>
      </c>
      <c r="I47" s="65">
        <f>(H47-$H$57)^2</f>
        <v>132423.21</v>
      </c>
    </row>
    <row r="48" spans="1:34" x14ac:dyDescent="0.25">
      <c r="A48" s="3"/>
      <c r="B48">
        <v>2</v>
      </c>
      <c r="C48" s="78">
        <v>0</v>
      </c>
      <c r="D48" s="79">
        <v>5</v>
      </c>
      <c r="E48" s="82">
        <v>0</v>
      </c>
      <c r="F48" s="58">
        <v>1.37</v>
      </c>
      <c r="G48" s="59">
        <f t="shared" ref="G48:G51" si="27">(F48-$F$57)^2</f>
        <v>3.081975308641972E-2</v>
      </c>
      <c r="H48" s="78">
        <v>814</v>
      </c>
      <c r="I48" s="65">
        <f t="shared" ref="I48:I56" si="28">(H48-$H$57)^2</f>
        <v>5461.2099999999964</v>
      </c>
    </row>
    <row r="49" spans="1:9" x14ac:dyDescent="0.25">
      <c r="A49" s="3"/>
      <c r="B49">
        <v>3</v>
      </c>
      <c r="C49" s="78">
        <v>0</v>
      </c>
      <c r="D49" s="79">
        <v>6</v>
      </c>
      <c r="E49" s="82">
        <v>0</v>
      </c>
      <c r="F49" s="58">
        <v>2.2400000000000002</v>
      </c>
      <c r="G49" s="59">
        <f t="shared" si="27"/>
        <v>1.0931864197530865</v>
      </c>
      <c r="H49" s="78">
        <v>1522</v>
      </c>
      <c r="I49" s="65">
        <f t="shared" si="28"/>
        <v>611367.61</v>
      </c>
    </row>
    <row r="50" spans="1:9" x14ac:dyDescent="0.25">
      <c r="A50" s="3"/>
      <c r="B50">
        <v>4</v>
      </c>
      <c r="C50" s="78">
        <v>0</v>
      </c>
      <c r="D50" s="82">
        <v>14</v>
      </c>
      <c r="E50" s="82">
        <v>0</v>
      </c>
      <c r="F50" s="58">
        <v>1.1299999999999999</v>
      </c>
      <c r="G50" s="59">
        <f t="shared" si="27"/>
        <v>4.1530864197531258E-3</v>
      </c>
      <c r="H50" s="78">
        <v>590</v>
      </c>
      <c r="I50" s="65">
        <f t="shared" si="28"/>
        <v>22530.010000000006</v>
      </c>
    </row>
    <row r="51" spans="1:9" x14ac:dyDescent="0.25">
      <c r="A51" s="3"/>
      <c r="B51">
        <v>5</v>
      </c>
      <c r="C51" s="78">
        <v>0</v>
      </c>
      <c r="D51" s="82">
        <v>4</v>
      </c>
      <c r="E51" s="82">
        <v>0</v>
      </c>
      <c r="F51" s="58" t="s">
        <v>36</v>
      </c>
      <c r="G51" s="59">
        <f t="shared" si="27"/>
        <v>0.64891975308641947</v>
      </c>
      <c r="H51" s="78">
        <v>1198</v>
      </c>
      <c r="I51" s="65">
        <f t="shared" si="28"/>
        <v>209672.40999999997</v>
      </c>
    </row>
    <row r="52" spans="1:9" x14ac:dyDescent="0.25">
      <c r="A52" s="3"/>
      <c r="B52">
        <v>6</v>
      </c>
      <c r="C52" s="78">
        <v>0</v>
      </c>
      <c r="D52" s="82">
        <v>3</v>
      </c>
      <c r="E52" s="82">
        <v>0</v>
      </c>
      <c r="F52" s="58">
        <v>0.87</v>
      </c>
      <c r="G52" s="59">
        <f>(F52-$F$57)^2</f>
        <v>0.10526419753086433</v>
      </c>
      <c r="H52" s="78">
        <v>442</v>
      </c>
      <c r="I52" s="65">
        <f t="shared" si="28"/>
        <v>88863.610000000015</v>
      </c>
    </row>
    <row r="53" spans="1:9" x14ac:dyDescent="0.25">
      <c r="A53" s="3"/>
      <c r="B53">
        <v>7</v>
      </c>
      <c r="C53" s="78">
        <v>0</v>
      </c>
      <c r="D53" s="82">
        <v>6</v>
      </c>
      <c r="E53" s="82">
        <v>0</v>
      </c>
      <c r="F53" s="58">
        <v>1.03</v>
      </c>
      <c r="G53" s="59">
        <f>(F53-$F$57)^2</f>
        <v>2.7041975308642031E-2</v>
      </c>
      <c r="H53" s="78">
        <v>629</v>
      </c>
      <c r="I53" s="65">
        <f t="shared" si="28"/>
        <v>12343.210000000005</v>
      </c>
    </row>
    <row r="54" spans="1:9" x14ac:dyDescent="0.25">
      <c r="A54" s="3"/>
      <c r="B54">
        <v>8</v>
      </c>
      <c r="C54" s="78">
        <v>0</v>
      </c>
      <c r="D54" s="82">
        <v>4</v>
      </c>
      <c r="E54" s="82">
        <v>1</v>
      </c>
      <c r="F54" s="58">
        <v>0.71</v>
      </c>
      <c r="G54" s="59">
        <f>(F54-$F$57)^2</f>
        <v>0.23468641975308666</v>
      </c>
      <c r="H54" s="78">
        <v>384</v>
      </c>
      <c r="I54" s="65">
        <f t="shared" si="28"/>
        <v>126807.21000000002</v>
      </c>
    </row>
    <row r="55" spans="1:9" x14ac:dyDescent="0.25">
      <c r="A55" s="3"/>
      <c r="B55">
        <v>9</v>
      </c>
      <c r="C55" s="78">
        <v>0</v>
      </c>
      <c r="D55" s="82">
        <v>5</v>
      </c>
      <c r="E55" s="82">
        <v>0</v>
      </c>
      <c r="F55" s="58">
        <v>0.9</v>
      </c>
      <c r="G55" s="59">
        <f>(F55-$F$57)^2</f>
        <v>8.6697530864197639E-2</v>
      </c>
      <c r="H55" s="78">
        <v>410</v>
      </c>
      <c r="I55" s="65">
        <f t="shared" si="28"/>
        <v>108966.01000000001</v>
      </c>
    </row>
    <row r="56" spans="1:9" x14ac:dyDescent="0.25">
      <c r="A56" s="6"/>
      <c r="B56" s="8">
        <v>10</v>
      </c>
      <c r="C56" s="80">
        <v>0</v>
      </c>
      <c r="D56" s="81">
        <v>7</v>
      </c>
      <c r="E56" s="81">
        <v>0</v>
      </c>
      <c r="F56" s="60">
        <v>0.73</v>
      </c>
      <c r="G56" s="59">
        <f>(F56-$F$57)^2</f>
        <v>0.21570864197530884</v>
      </c>
      <c r="H56" s="80">
        <v>308</v>
      </c>
      <c r="I56" s="65">
        <f t="shared" si="28"/>
        <v>186710.41000000003</v>
      </c>
    </row>
    <row r="57" spans="1:9" x14ac:dyDescent="0.25">
      <c r="A57" s="9" t="s">
        <v>35</v>
      </c>
      <c r="B57" s="69"/>
      <c r="C57" s="72">
        <f>AVERAGE(C47:C56)</f>
        <v>0</v>
      </c>
      <c r="D57" s="73">
        <f>AVERAGE(D47:D56)</f>
        <v>6</v>
      </c>
      <c r="E57" s="73">
        <f>AVERAGE(E47:E56)</f>
        <v>0.1</v>
      </c>
      <c r="F57" s="72">
        <f>AVERAGE(F47:F56)</f>
        <v>1.1944444444444446</v>
      </c>
      <c r="G57" s="73">
        <f>SQRT(AVERAGE(G47:G56))</f>
        <v>0.52704288016333567</v>
      </c>
      <c r="H57" s="74">
        <f>AVERAGE(H47:H56)</f>
        <v>740.1</v>
      </c>
      <c r="I57" s="75">
        <f>SQRT(AVERAGE(I47:I56))</f>
        <v>387.96196978569947</v>
      </c>
    </row>
    <row r="58" spans="1:9" ht="15.75" thickBot="1" x14ac:dyDescent="0.3">
      <c r="A58" s="70" t="s">
        <v>34</v>
      </c>
      <c r="B58" s="71"/>
      <c r="C58" s="61">
        <f>C57/$D$46</f>
        <v>0</v>
      </c>
      <c r="D58" s="41">
        <f>D57/$D$46</f>
        <v>6.8965517241379309E-2</v>
      </c>
      <c r="E58" s="41">
        <f>E57/$D$46</f>
        <v>1.1494252873563218E-3</v>
      </c>
      <c r="F58" s="54"/>
      <c r="G58" s="39"/>
      <c r="H58" s="54"/>
      <c r="I58" s="39"/>
    </row>
    <row r="59" spans="1:9" x14ac:dyDescent="0.25">
      <c r="A59" s="3" t="s">
        <v>17</v>
      </c>
      <c r="B59">
        <v>1</v>
      </c>
      <c r="C59" s="78">
        <v>0</v>
      </c>
      <c r="D59" s="79">
        <v>3</v>
      </c>
      <c r="E59" s="82">
        <v>1</v>
      </c>
      <c r="F59" s="58">
        <v>1.22</v>
      </c>
      <c r="G59" s="59">
        <f>(F59-$F$69)^2</f>
        <v>1.7160999999999944E-2</v>
      </c>
      <c r="H59" s="78">
        <v>716</v>
      </c>
      <c r="I59" s="65">
        <f>(H59-$H$69)^2</f>
        <v>14762.25</v>
      </c>
    </row>
    <row r="60" spans="1:9" x14ac:dyDescent="0.25">
      <c r="A60" s="3"/>
      <c r="B60">
        <v>2</v>
      </c>
      <c r="C60" s="78">
        <v>0</v>
      </c>
      <c r="D60" s="79">
        <v>0</v>
      </c>
      <c r="E60" s="82">
        <v>10</v>
      </c>
      <c r="F60" s="58">
        <v>2.54</v>
      </c>
      <c r="G60" s="59">
        <f t="shared" ref="G60:G68" si="29">(F60-$F$69)^2</f>
        <v>1.4137210000000007</v>
      </c>
      <c r="H60" s="78">
        <v>1654</v>
      </c>
      <c r="I60" s="65">
        <f t="shared" ref="I60:I68" si="30">(H60-$H$69)^2</f>
        <v>666672.25</v>
      </c>
    </row>
    <row r="61" spans="1:9" x14ac:dyDescent="0.25">
      <c r="A61" s="3"/>
      <c r="B61">
        <v>3</v>
      </c>
      <c r="C61" s="78">
        <v>0</v>
      </c>
      <c r="D61" s="79">
        <v>2</v>
      </c>
      <c r="E61" s="82">
        <v>0</v>
      </c>
      <c r="F61" s="58">
        <v>0.68</v>
      </c>
      <c r="G61" s="59">
        <f t="shared" si="29"/>
        <v>0.45024099999999961</v>
      </c>
      <c r="H61" s="78">
        <v>272</v>
      </c>
      <c r="I61" s="65">
        <f t="shared" si="30"/>
        <v>319790.25</v>
      </c>
    </row>
    <row r="62" spans="1:9" x14ac:dyDescent="0.25">
      <c r="A62" s="3"/>
      <c r="B62">
        <v>4</v>
      </c>
      <c r="C62" s="78">
        <v>0</v>
      </c>
      <c r="D62" s="82">
        <v>3</v>
      </c>
      <c r="E62" s="82">
        <v>9</v>
      </c>
      <c r="F62" s="58">
        <v>1.78</v>
      </c>
      <c r="G62" s="59">
        <f t="shared" si="29"/>
        <v>0.18404100000000023</v>
      </c>
      <c r="H62" s="78">
        <v>1106</v>
      </c>
      <c r="I62" s="65">
        <f t="shared" si="30"/>
        <v>72092.25</v>
      </c>
    </row>
    <row r="63" spans="1:9" x14ac:dyDescent="0.25">
      <c r="A63" s="3"/>
      <c r="B63">
        <v>5</v>
      </c>
      <c r="C63" s="78">
        <v>0</v>
      </c>
      <c r="D63" s="82">
        <v>2</v>
      </c>
      <c r="E63" s="82">
        <v>1</v>
      </c>
      <c r="F63" s="58">
        <v>1.43</v>
      </c>
      <c r="G63" s="59">
        <f t="shared" si="29"/>
        <v>6.2410000000000286E-3</v>
      </c>
      <c r="H63" s="78">
        <v>916</v>
      </c>
      <c r="I63" s="65">
        <f t="shared" si="30"/>
        <v>6162.25</v>
      </c>
    </row>
    <row r="64" spans="1:9" x14ac:dyDescent="0.25">
      <c r="A64" s="3"/>
      <c r="B64">
        <v>6</v>
      </c>
      <c r="C64" s="78">
        <v>0</v>
      </c>
      <c r="D64" s="82">
        <v>1</v>
      </c>
      <c r="E64" s="82">
        <v>0</v>
      </c>
      <c r="F64" s="58">
        <v>1.55</v>
      </c>
      <c r="G64" s="59">
        <f t="shared" si="29"/>
        <v>3.9601000000000115E-2</v>
      </c>
      <c r="H64" s="78">
        <v>956</v>
      </c>
      <c r="I64" s="65">
        <f t="shared" si="30"/>
        <v>14042.25</v>
      </c>
    </row>
    <row r="65" spans="1:9" x14ac:dyDescent="0.25">
      <c r="A65" s="3"/>
      <c r="B65">
        <v>7</v>
      </c>
      <c r="C65" s="78">
        <v>0</v>
      </c>
      <c r="D65" s="82">
        <v>3</v>
      </c>
      <c r="E65" s="82">
        <v>1</v>
      </c>
      <c r="F65" s="58">
        <v>1.17</v>
      </c>
      <c r="G65" s="59">
        <f t="shared" si="29"/>
        <v>3.2760999999999936E-2</v>
      </c>
      <c r="H65" s="78">
        <v>828</v>
      </c>
      <c r="I65" s="65">
        <f t="shared" si="30"/>
        <v>90.25</v>
      </c>
    </row>
    <row r="66" spans="1:9" x14ac:dyDescent="0.25">
      <c r="A66" s="3"/>
      <c r="B66">
        <v>8</v>
      </c>
      <c r="C66" s="78">
        <v>0</v>
      </c>
      <c r="D66" s="82">
        <v>1</v>
      </c>
      <c r="E66" s="82">
        <v>0</v>
      </c>
      <c r="F66" s="58">
        <v>1.03</v>
      </c>
      <c r="G66" s="59">
        <f t="shared" si="29"/>
        <v>0.10304099999999983</v>
      </c>
      <c r="H66" s="78">
        <v>799</v>
      </c>
      <c r="I66" s="65">
        <f t="shared" si="30"/>
        <v>1482.25</v>
      </c>
    </row>
    <row r="67" spans="1:9" x14ac:dyDescent="0.25">
      <c r="A67" s="3"/>
      <c r="B67">
        <v>9</v>
      </c>
      <c r="C67" s="78">
        <v>0</v>
      </c>
      <c r="D67" s="82">
        <v>3</v>
      </c>
      <c r="E67" s="82">
        <v>0</v>
      </c>
      <c r="F67" s="58">
        <v>0.54</v>
      </c>
      <c r="G67" s="59">
        <f t="shared" si="29"/>
        <v>0.65772099999999956</v>
      </c>
      <c r="H67" s="78">
        <v>262</v>
      </c>
      <c r="I67" s="65">
        <f t="shared" si="30"/>
        <v>331200.25</v>
      </c>
    </row>
    <row r="68" spans="1:9" x14ac:dyDescent="0.25">
      <c r="A68" s="6"/>
      <c r="B68" s="8">
        <v>10</v>
      </c>
      <c r="C68" s="80">
        <v>0</v>
      </c>
      <c r="D68" s="81">
        <v>6</v>
      </c>
      <c r="E68" s="81">
        <v>0</v>
      </c>
      <c r="F68" s="60">
        <v>1.57</v>
      </c>
      <c r="G68" s="59">
        <f t="shared" si="29"/>
        <v>4.7961000000000135E-2</v>
      </c>
      <c r="H68" s="80">
        <v>866</v>
      </c>
      <c r="I68" s="65">
        <f t="shared" si="30"/>
        <v>812.25</v>
      </c>
    </row>
    <row r="69" spans="1:9" x14ac:dyDescent="0.25">
      <c r="A69" s="9" t="s">
        <v>35</v>
      </c>
      <c r="B69" s="69"/>
      <c r="C69" s="72">
        <f>AVERAGE(C59:C68)</f>
        <v>0</v>
      </c>
      <c r="D69" s="73">
        <f>AVERAGE(D59:D68)</f>
        <v>2.4</v>
      </c>
      <c r="E69" s="73">
        <f>AVERAGE(E59:E68)</f>
        <v>2.2000000000000002</v>
      </c>
      <c r="F69" s="72">
        <f>AVERAGE(F59:F68)</f>
        <v>1.3509999999999998</v>
      </c>
      <c r="G69" s="73">
        <f>SQRT(AVERAGE(G59:G68))</f>
        <v>0.54336819929031543</v>
      </c>
      <c r="H69" s="74">
        <f>AVERAGE(H59:H68)</f>
        <v>837.5</v>
      </c>
      <c r="I69" s="75">
        <f>SQRT(AVERAGE(I59:I68))</f>
        <v>377.77063146835542</v>
      </c>
    </row>
    <row r="70" spans="1:9" ht="15.75" thickBot="1" x14ac:dyDescent="0.3">
      <c r="A70" s="70" t="s">
        <v>34</v>
      </c>
      <c r="B70" s="71"/>
      <c r="C70" s="61">
        <f>C69/$D$46</f>
        <v>0</v>
      </c>
      <c r="D70" s="41">
        <f>D69/$D$46</f>
        <v>2.7586206896551724E-2</v>
      </c>
      <c r="E70" s="41">
        <f>E69/$D$46</f>
        <v>2.5287356321839084E-2</v>
      </c>
      <c r="F70" s="54"/>
      <c r="G70" s="39"/>
      <c r="H70" s="54"/>
      <c r="I70" s="39"/>
    </row>
    <row r="71" spans="1:9" x14ac:dyDescent="0.25">
      <c r="A71" s="3" t="s">
        <v>18</v>
      </c>
      <c r="B71">
        <v>1</v>
      </c>
      <c r="C71" s="78">
        <v>0</v>
      </c>
      <c r="D71" s="79">
        <v>4</v>
      </c>
      <c r="E71" s="82">
        <v>0</v>
      </c>
      <c r="F71" s="58">
        <v>0.47449999999999998</v>
      </c>
      <c r="G71" s="59">
        <f>(F71-$F$81)^2</f>
        <v>2.7994681000000012E-3</v>
      </c>
      <c r="H71" s="78">
        <v>299</v>
      </c>
      <c r="I71" s="65">
        <f>(H71-$H$81)^2</f>
        <v>4583.2899999999981</v>
      </c>
    </row>
    <row r="72" spans="1:9" x14ac:dyDescent="0.25">
      <c r="A72" s="3"/>
      <c r="B72">
        <v>2</v>
      </c>
      <c r="C72" s="78">
        <v>0</v>
      </c>
      <c r="D72" s="79">
        <v>2</v>
      </c>
      <c r="E72" s="82">
        <v>0</v>
      </c>
      <c r="F72" s="58">
        <v>0.43659999999999999</v>
      </c>
      <c r="G72" s="59">
        <f t="shared" ref="G72:G80" si="31">(F72-$F$81)^2</f>
        <v>2.2530010000000071E-4</v>
      </c>
      <c r="H72" s="78">
        <v>233</v>
      </c>
      <c r="I72" s="65">
        <f t="shared" ref="I72:I80" si="32">(H72-$H$81)^2</f>
        <v>2.8899999999999615</v>
      </c>
    </row>
    <row r="73" spans="1:9" x14ac:dyDescent="0.25">
      <c r="A73" s="3"/>
      <c r="B73">
        <v>3</v>
      </c>
      <c r="C73" s="78">
        <v>0</v>
      </c>
      <c r="D73" s="79">
        <v>2</v>
      </c>
      <c r="E73" s="82">
        <v>0</v>
      </c>
      <c r="F73" s="58">
        <v>0.32300000000000001</v>
      </c>
      <c r="G73" s="59">
        <f t="shared" si="31"/>
        <v>9.7199880999999915E-3</v>
      </c>
      <c r="H73" s="78">
        <v>156</v>
      </c>
      <c r="I73" s="65">
        <f t="shared" si="32"/>
        <v>5670.090000000002</v>
      </c>
    </row>
    <row r="74" spans="1:9" x14ac:dyDescent="0.25">
      <c r="A74" s="3"/>
      <c r="B74">
        <v>4</v>
      </c>
      <c r="C74" s="78">
        <v>0</v>
      </c>
      <c r="D74" s="82">
        <v>2</v>
      </c>
      <c r="E74" s="82">
        <v>0</v>
      </c>
      <c r="F74" s="58">
        <v>0.40100000000000002</v>
      </c>
      <c r="G74" s="59">
        <f t="shared" si="31"/>
        <v>4.239480999999976E-4</v>
      </c>
      <c r="H74" s="78">
        <v>214</v>
      </c>
      <c r="I74" s="65">
        <f t="shared" si="32"/>
        <v>299.29000000000042</v>
      </c>
    </row>
    <row r="75" spans="1:9" x14ac:dyDescent="0.25">
      <c r="A75" s="3"/>
      <c r="B75">
        <v>5</v>
      </c>
      <c r="C75" s="78">
        <v>0</v>
      </c>
      <c r="D75" s="82">
        <v>4</v>
      </c>
      <c r="E75" s="82">
        <v>0</v>
      </c>
      <c r="F75" s="58">
        <v>0.39639999999999997</v>
      </c>
      <c r="G75" s="59">
        <f t="shared" si="31"/>
        <v>6.3453609999999949E-4</v>
      </c>
      <c r="H75" s="78">
        <v>224</v>
      </c>
      <c r="I75" s="65">
        <f t="shared" si="32"/>
        <v>53.290000000000163</v>
      </c>
    </row>
    <row r="76" spans="1:9" x14ac:dyDescent="0.25">
      <c r="A76" s="3"/>
      <c r="B76">
        <v>6</v>
      </c>
      <c r="C76" s="78">
        <v>0</v>
      </c>
      <c r="D76" s="82">
        <v>3</v>
      </c>
      <c r="E76" s="82">
        <v>0</v>
      </c>
      <c r="F76" s="58">
        <v>0.56999999999999995</v>
      </c>
      <c r="G76" s="59">
        <f t="shared" si="31"/>
        <v>2.2025528099999997E-2</v>
      </c>
      <c r="H76" s="78">
        <v>328</v>
      </c>
      <c r="I76" s="65">
        <f t="shared" si="32"/>
        <v>9350.8899999999976</v>
      </c>
    </row>
    <row r="77" spans="1:9" x14ac:dyDescent="0.25">
      <c r="A77" s="3"/>
      <c r="B77">
        <v>7</v>
      </c>
      <c r="C77" s="78">
        <v>0</v>
      </c>
      <c r="D77" s="82">
        <v>4</v>
      </c>
      <c r="E77" s="82">
        <v>0</v>
      </c>
      <c r="F77" s="58">
        <v>0.36559999999999998</v>
      </c>
      <c r="G77" s="59">
        <f t="shared" si="31"/>
        <v>3.1348800999999983E-3</v>
      </c>
      <c r="H77" s="78">
        <v>198</v>
      </c>
      <c r="I77" s="65">
        <f t="shared" si="32"/>
        <v>1108.8900000000008</v>
      </c>
    </row>
    <row r="78" spans="1:9" x14ac:dyDescent="0.25">
      <c r="A78" s="3"/>
      <c r="B78">
        <v>8</v>
      </c>
      <c r="C78" s="78">
        <v>0</v>
      </c>
      <c r="D78" s="82">
        <v>6</v>
      </c>
      <c r="E78" s="82">
        <v>0</v>
      </c>
      <c r="F78" s="58">
        <v>0.52</v>
      </c>
      <c r="G78" s="59">
        <f t="shared" si="31"/>
        <v>9.6845281000000113E-3</v>
      </c>
      <c r="H78" s="78">
        <v>286</v>
      </c>
      <c r="I78" s="65">
        <f t="shared" si="32"/>
        <v>2992.0899999999988</v>
      </c>
    </row>
    <row r="79" spans="1:9" x14ac:dyDescent="0.25">
      <c r="A79" s="3"/>
      <c r="B79">
        <v>9</v>
      </c>
      <c r="C79" s="78">
        <v>0</v>
      </c>
      <c r="D79" s="82">
        <v>2</v>
      </c>
      <c r="E79" s="82">
        <v>0</v>
      </c>
      <c r="F79" s="58">
        <v>0.4</v>
      </c>
      <c r="G79" s="59">
        <f t="shared" si="31"/>
        <v>4.6612809999999755E-4</v>
      </c>
      <c r="H79" s="78">
        <v>200</v>
      </c>
      <c r="I79" s="65">
        <f t="shared" si="32"/>
        <v>979.69000000000074</v>
      </c>
    </row>
    <row r="80" spans="1:9" x14ac:dyDescent="0.25">
      <c r="A80" s="6"/>
      <c r="B80" s="8">
        <v>10</v>
      </c>
      <c r="C80" s="80">
        <v>0</v>
      </c>
      <c r="D80" s="81">
        <v>5</v>
      </c>
      <c r="E80" s="81">
        <v>0</v>
      </c>
      <c r="F80" s="60">
        <v>0.32879999999999998</v>
      </c>
      <c r="G80" s="59">
        <f t="shared" si="31"/>
        <v>8.6099840999999972E-3</v>
      </c>
      <c r="H80" s="80">
        <v>175</v>
      </c>
      <c r="I80" s="65">
        <f t="shared" si="32"/>
        <v>3169.6900000000014</v>
      </c>
    </row>
    <row r="81" spans="1:9" x14ac:dyDescent="0.25">
      <c r="A81" s="9" t="s">
        <v>35</v>
      </c>
      <c r="B81" s="69"/>
      <c r="C81" s="72">
        <f>AVERAGE(C71:C80)</f>
        <v>0</v>
      </c>
      <c r="D81" s="73">
        <f>AVERAGE(D71:D80)</f>
        <v>3.4</v>
      </c>
      <c r="E81" s="73">
        <f>AVERAGE(E71:E80)</f>
        <v>0</v>
      </c>
      <c r="F81" s="72">
        <f>AVERAGE(F71:F80)</f>
        <v>0.42158999999999996</v>
      </c>
      <c r="G81" s="73">
        <f>SQRT(AVERAGE(G71:G80))</f>
        <v>7.5976502288536543E-2</v>
      </c>
      <c r="H81" s="74">
        <f>AVERAGE(H71:H80)</f>
        <v>231.3</v>
      </c>
      <c r="I81" s="75">
        <f>SQRT(AVERAGE(I71:I80))</f>
        <v>53.113181038231936</v>
      </c>
    </row>
    <row r="82" spans="1:9" ht="15.75" thickBot="1" x14ac:dyDescent="0.3">
      <c r="A82" s="70" t="s">
        <v>34</v>
      </c>
      <c r="B82" s="71"/>
      <c r="C82" s="61">
        <f>C81/$D$46</f>
        <v>0</v>
      </c>
      <c r="D82" s="41">
        <f>D81/$D$46</f>
        <v>3.9080459770114942E-2</v>
      </c>
      <c r="E82" s="41">
        <f>E81/$D$46</f>
        <v>0</v>
      </c>
      <c r="F82" s="54"/>
      <c r="G82" s="39"/>
      <c r="H82" s="54"/>
      <c r="I82" s="39"/>
    </row>
  </sheetData>
  <mergeCells count="45">
    <mergeCell ref="A82:B82"/>
    <mergeCell ref="A58:B58"/>
    <mergeCell ref="A59:A68"/>
    <mergeCell ref="A69:B69"/>
    <mergeCell ref="A70:B70"/>
    <mergeCell ref="A71:A80"/>
    <mergeCell ref="A81:B81"/>
    <mergeCell ref="C44:C45"/>
    <mergeCell ref="D44:D45"/>
    <mergeCell ref="E44:E45"/>
    <mergeCell ref="D46:E46"/>
    <mergeCell ref="A47:A56"/>
    <mergeCell ref="A57:B57"/>
    <mergeCell ref="AB3:AB4"/>
    <mergeCell ref="A6:A15"/>
    <mergeCell ref="A17:A26"/>
    <mergeCell ref="A28:A37"/>
    <mergeCell ref="A42:I42"/>
    <mergeCell ref="A43:A45"/>
    <mergeCell ref="B43:B45"/>
    <mergeCell ref="C43:E43"/>
    <mergeCell ref="F43:G44"/>
    <mergeCell ref="H43:I44"/>
    <mergeCell ref="O3:P3"/>
    <mergeCell ref="Q3:Q4"/>
    <mergeCell ref="R3:R4"/>
    <mergeCell ref="W3:X3"/>
    <mergeCell ref="Y3:Z3"/>
    <mergeCell ref="AA3:AA4"/>
    <mergeCell ref="C3:D3"/>
    <mergeCell ref="E3:F3"/>
    <mergeCell ref="G3:H3"/>
    <mergeCell ref="I3:J3"/>
    <mergeCell ref="K3:L3"/>
    <mergeCell ref="M3:N3"/>
    <mergeCell ref="A1:AH1"/>
    <mergeCell ref="A2:A4"/>
    <mergeCell ref="B2:B4"/>
    <mergeCell ref="C2:R2"/>
    <mergeCell ref="S2:V3"/>
    <mergeCell ref="W2:AB2"/>
    <mergeCell ref="AC2:AC4"/>
    <mergeCell ref="AD2:AD4"/>
    <mergeCell ref="AE2:AF3"/>
    <mergeCell ref="AG2:A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08DC-1587-4FC9-948A-420898EC8147}">
  <dimension ref="A1:AH41"/>
  <sheetViews>
    <sheetView workbookViewId="0">
      <selection activeCell="P21" sqref="P21"/>
    </sheetView>
  </sheetViews>
  <sheetFormatPr defaultRowHeight="15" x14ac:dyDescent="0.25"/>
  <cols>
    <col min="3" max="3" width="9.140625" style="10"/>
    <col min="17" max="18" width="9.140625" style="20"/>
    <col min="19" max="19" width="9.140625" style="10"/>
    <col min="21" max="22" width="9.140625" style="20"/>
    <col min="23" max="23" width="9.140625" style="10"/>
    <col min="27" max="28" width="9.140625" style="20"/>
    <col min="29" max="29" width="9.140625" style="19"/>
    <col min="30" max="30" width="9.140625" style="20"/>
    <col min="31" max="31" width="9.140625" style="45"/>
    <col min="32" max="32" width="9.140625" style="40" customWidth="1"/>
    <col min="33" max="34" width="9.140625" style="49"/>
  </cols>
  <sheetData>
    <row r="1" spans="1:12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38"/>
      <c r="K1" s="38"/>
      <c r="L1" s="38"/>
    </row>
    <row r="2" spans="1:12" x14ac:dyDescent="0.25">
      <c r="A2" s="2" t="s">
        <v>15</v>
      </c>
      <c r="B2" s="3" t="s">
        <v>0</v>
      </c>
      <c r="C2" s="14" t="s">
        <v>29</v>
      </c>
      <c r="D2" s="4"/>
      <c r="E2" s="4"/>
      <c r="F2" s="52" t="s">
        <v>24</v>
      </c>
      <c r="G2" s="3"/>
      <c r="H2" s="52" t="s">
        <v>25</v>
      </c>
      <c r="I2" s="3"/>
    </row>
    <row r="3" spans="1:12" x14ac:dyDescent="0.25">
      <c r="A3" s="2"/>
      <c r="B3" s="3"/>
      <c r="C3" s="52" t="s">
        <v>30</v>
      </c>
      <c r="D3" s="3" t="s">
        <v>31</v>
      </c>
      <c r="E3" s="3" t="s">
        <v>32</v>
      </c>
      <c r="F3" s="52"/>
      <c r="G3" s="3"/>
      <c r="H3" s="52"/>
      <c r="I3" s="3"/>
    </row>
    <row r="4" spans="1:12" x14ac:dyDescent="0.25">
      <c r="A4" s="6"/>
      <c r="B4" s="6"/>
      <c r="C4" s="53"/>
      <c r="D4" s="6"/>
      <c r="E4" s="6"/>
      <c r="F4" s="56" t="s">
        <v>26</v>
      </c>
      <c r="G4" s="43" t="s">
        <v>27</v>
      </c>
      <c r="H4" s="62" t="s">
        <v>26</v>
      </c>
      <c r="I4" s="47" t="s">
        <v>27</v>
      </c>
    </row>
    <row r="5" spans="1:12" ht="15.75" thickBot="1" x14ac:dyDescent="0.3">
      <c r="A5" s="30"/>
      <c r="B5" s="31"/>
      <c r="C5" s="55" t="s">
        <v>33</v>
      </c>
      <c r="D5" s="51">
        <v>87</v>
      </c>
      <c r="E5" s="51"/>
      <c r="F5" s="32"/>
      <c r="G5" s="30"/>
      <c r="H5" s="32"/>
      <c r="I5" s="30"/>
    </row>
    <row r="6" spans="1:12" x14ac:dyDescent="0.25">
      <c r="A6" s="3" t="s">
        <v>16</v>
      </c>
      <c r="B6">
        <v>1</v>
      </c>
      <c r="C6" s="78">
        <v>0</v>
      </c>
      <c r="D6" s="79">
        <v>0</v>
      </c>
      <c r="E6" s="82">
        <v>5</v>
      </c>
      <c r="F6" s="58">
        <v>0.23549999999999999</v>
      </c>
      <c r="G6" s="59">
        <f>(F6-$F$16)^2</f>
        <v>9.0250000000001211E-7</v>
      </c>
      <c r="H6" s="78">
        <v>87</v>
      </c>
      <c r="I6" s="65">
        <f>(H6-$H$16)^2</f>
        <v>246.49000000000009</v>
      </c>
    </row>
    <row r="7" spans="1:12" x14ac:dyDescent="0.25">
      <c r="A7" s="3"/>
      <c r="B7">
        <v>2</v>
      </c>
      <c r="C7" s="78">
        <v>0</v>
      </c>
      <c r="D7" s="79">
        <v>0</v>
      </c>
      <c r="E7" s="82">
        <v>1</v>
      </c>
      <c r="F7" s="58">
        <v>0.37559999999999999</v>
      </c>
      <c r="G7" s="59">
        <f t="shared" ref="G7:G10" si="0">(F7-$F$16)^2</f>
        <v>1.9895102500000001E-2</v>
      </c>
      <c r="H7" s="78">
        <v>176</v>
      </c>
      <c r="I7" s="65">
        <f t="shared" ref="I7:I15" si="1">(H7-$H$16)^2</f>
        <v>5372.8899999999994</v>
      </c>
    </row>
    <row r="8" spans="1:12" x14ac:dyDescent="0.25">
      <c r="A8" s="3"/>
      <c r="B8">
        <v>3</v>
      </c>
      <c r="C8" s="78">
        <v>5</v>
      </c>
      <c r="D8" s="79">
        <v>2</v>
      </c>
      <c r="E8" s="82">
        <v>6</v>
      </c>
      <c r="F8" s="58">
        <v>0.20660000000000001</v>
      </c>
      <c r="G8" s="59">
        <f t="shared" si="0"/>
        <v>7.8120249999999859E-4</v>
      </c>
      <c r="H8" s="78">
        <v>91</v>
      </c>
      <c r="I8" s="65">
        <f t="shared" si="1"/>
        <v>136.89000000000007</v>
      </c>
    </row>
    <row r="9" spans="1:12" x14ac:dyDescent="0.25">
      <c r="A9" s="3"/>
      <c r="B9">
        <v>4</v>
      </c>
      <c r="C9" s="78">
        <v>0</v>
      </c>
      <c r="D9" s="82">
        <v>0</v>
      </c>
      <c r="E9" s="82">
        <v>5</v>
      </c>
      <c r="F9" s="58">
        <v>0.26179999999999998</v>
      </c>
      <c r="G9" s="59">
        <f t="shared" si="0"/>
        <v>7.4256249999999984E-4</v>
      </c>
      <c r="H9" s="78">
        <v>113</v>
      </c>
      <c r="I9" s="65">
        <f t="shared" si="1"/>
        <v>106.08999999999995</v>
      </c>
    </row>
    <row r="10" spans="1:12" x14ac:dyDescent="0.25">
      <c r="A10" s="3"/>
      <c r="B10">
        <v>5</v>
      </c>
      <c r="C10" s="78">
        <v>22</v>
      </c>
      <c r="D10" s="82">
        <v>45</v>
      </c>
      <c r="E10" s="82">
        <v>0</v>
      </c>
      <c r="F10" s="58">
        <v>9.7299999999999998E-2</v>
      </c>
      <c r="G10" s="59">
        <f t="shared" si="0"/>
        <v>1.8837562499999995E-2</v>
      </c>
      <c r="H10" s="78">
        <v>55</v>
      </c>
      <c r="I10" s="65">
        <f t="shared" si="1"/>
        <v>2275.2900000000004</v>
      </c>
    </row>
    <row r="11" spans="1:12" x14ac:dyDescent="0.25">
      <c r="A11" s="3"/>
      <c r="B11">
        <v>6</v>
      </c>
      <c r="C11" s="78">
        <v>0</v>
      </c>
      <c r="D11" s="82">
        <v>0</v>
      </c>
      <c r="E11" s="82">
        <v>2</v>
      </c>
      <c r="F11" s="58">
        <v>0.25</v>
      </c>
      <c r="G11" s="59">
        <f>(F11-$F$16)^2</f>
        <v>2.3870250000000058E-4</v>
      </c>
      <c r="H11" s="78">
        <v>110</v>
      </c>
      <c r="I11" s="65">
        <f t="shared" si="1"/>
        <v>53.289999999999957</v>
      </c>
    </row>
    <row r="12" spans="1:12" x14ac:dyDescent="0.25">
      <c r="A12" s="3"/>
      <c r="B12">
        <v>7</v>
      </c>
      <c r="C12" s="78">
        <v>0</v>
      </c>
      <c r="D12" s="82">
        <v>2</v>
      </c>
      <c r="E12" s="82">
        <v>3</v>
      </c>
      <c r="F12" s="58">
        <v>0.223</v>
      </c>
      <c r="G12" s="59">
        <f>(F12-$F$16)^2</f>
        <v>1.3340249999999946E-4</v>
      </c>
      <c r="H12" s="78">
        <v>95</v>
      </c>
      <c r="I12" s="65">
        <f t="shared" si="1"/>
        <v>59.290000000000042</v>
      </c>
    </row>
    <row r="13" spans="1:12" x14ac:dyDescent="0.25">
      <c r="A13" s="3"/>
      <c r="B13">
        <v>8</v>
      </c>
      <c r="C13" s="78">
        <v>0</v>
      </c>
      <c r="D13" s="82">
        <v>0</v>
      </c>
      <c r="E13" s="82">
        <v>5</v>
      </c>
      <c r="F13" s="58">
        <v>0.245</v>
      </c>
      <c r="G13" s="59">
        <f>(F13-$F$16)^2</f>
        <v>1.0920250000000031E-4</v>
      </c>
      <c r="H13" s="78">
        <v>108</v>
      </c>
      <c r="I13" s="65">
        <f t="shared" si="1"/>
        <v>28.089999999999971</v>
      </c>
    </row>
    <row r="14" spans="1:12" x14ac:dyDescent="0.25">
      <c r="A14" s="3"/>
      <c r="B14">
        <v>9</v>
      </c>
      <c r="C14" s="78">
        <v>0</v>
      </c>
      <c r="D14" s="82">
        <v>0</v>
      </c>
      <c r="E14" s="82">
        <v>6</v>
      </c>
      <c r="F14" s="58">
        <v>0.218</v>
      </c>
      <c r="G14" s="59">
        <f>(F14-$F$16)^2</f>
        <v>2.7390249999999938E-4</v>
      </c>
      <c r="H14" s="78">
        <v>92</v>
      </c>
      <c r="I14" s="65">
        <f t="shared" si="1"/>
        <v>114.49000000000007</v>
      </c>
    </row>
    <row r="15" spans="1:12" x14ac:dyDescent="0.25">
      <c r="A15" s="6"/>
      <c r="B15" s="8">
        <v>10</v>
      </c>
      <c r="C15" s="80">
        <v>22</v>
      </c>
      <c r="D15" s="81">
        <v>45</v>
      </c>
      <c r="E15" s="81">
        <v>0</v>
      </c>
      <c r="F15" s="60">
        <v>0.23269999999999999</v>
      </c>
      <c r="G15" s="59">
        <f>(F15-$F$16)^2</f>
        <v>3.4224999999999651E-6</v>
      </c>
      <c r="H15" s="80">
        <v>100</v>
      </c>
      <c r="I15" s="65">
        <f t="shared" si="1"/>
        <v>7.2900000000000151</v>
      </c>
    </row>
    <row r="16" spans="1:12" x14ac:dyDescent="0.25">
      <c r="A16" s="9" t="s">
        <v>35</v>
      </c>
      <c r="B16" s="69"/>
      <c r="C16" s="72">
        <f>AVERAGE(C6:C15)</f>
        <v>4.9000000000000004</v>
      </c>
      <c r="D16" s="73">
        <f>AVERAGE(D6:D15)</f>
        <v>9.4</v>
      </c>
      <c r="E16" s="73">
        <f>AVERAGE(E6:E15)</f>
        <v>3.3</v>
      </c>
      <c r="F16" s="72">
        <f>AVERAGE(F6:F15)</f>
        <v>0.23454999999999998</v>
      </c>
      <c r="G16" s="73">
        <f>SQRT(AVERAGE(G6:G15))</f>
        <v>6.4043707731517227E-2</v>
      </c>
      <c r="H16" s="74">
        <f>AVERAGE(H6:H15)</f>
        <v>102.7</v>
      </c>
      <c r="I16" s="75">
        <f>SQRT(AVERAGE(I6:I15))</f>
        <v>28.982926008255273</v>
      </c>
    </row>
    <row r="17" spans="1:9" ht="15.75" thickBot="1" x14ac:dyDescent="0.3">
      <c r="A17" s="70" t="s">
        <v>34</v>
      </c>
      <c r="B17" s="71"/>
      <c r="C17" s="61">
        <f>C16/$D$5</f>
        <v>5.6321839080459776E-2</v>
      </c>
      <c r="D17" s="41">
        <f>D16/$D$5</f>
        <v>0.10804597701149425</v>
      </c>
      <c r="E17" s="41">
        <f>E16/$D$5</f>
        <v>3.793103448275862E-2</v>
      </c>
      <c r="F17" s="54"/>
      <c r="G17" s="39"/>
      <c r="H17" s="54"/>
      <c r="I17" s="39"/>
    </row>
    <row r="18" spans="1:9" x14ac:dyDescent="0.25">
      <c r="A18" s="3" t="s">
        <v>17</v>
      </c>
      <c r="B18">
        <v>1</v>
      </c>
      <c r="C18" s="78">
        <v>10</v>
      </c>
      <c r="D18" s="79">
        <v>0</v>
      </c>
      <c r="E18" s="82">
        <v>0</v>
      </c>
      <c r="F18" s="58">
        <v>0.97</v>
      </c>
      <c r="G18" s="59">
        <f>(F18-$F$28)^2</f>
        <v>8.8357562500000014E-2</v>
      </c>
      <c r="H18" s="78">
        <v>322</v>
      </c>
      <c r="I18" s="65">
        <f>(H18-$H$28)^2</f>
        <v>5358.239999999998</v>
      </c>
    </row>
    <row r="19" spans="1:9" x14ac:dyDescent="0.25">
      <c r="A19" s="3"/>
      <c r="B19">
        <v>2</v>
      </c>
      <c r="C19" s="78">
        <v>22</v>
      </c>
      <c r="D19" s="79">
        <v>45</v>
      </c>
      <c r="E19" s="82">
        <v>0</v>
      </c>
      <c r="F19" s="58">
        <v>9.8699999999999996E-2</v>
      </c>
      <c r="G19" s="59">
        <f t="shared" ref="G19:G27" si="2">(F19-$F$28)^2</f>
        <v>0.32953340249999996</v>
      </c>
      <c r="H19" s="78">
        <v>61</v>
      </c>
      <c r="I19" s="65">
        <f t="shared" ref="I19:I27" si="3">(H19-$H$28)^2</f>
        <v>35268.840000000004</v>
      </c>
    </row>
    <row r="20" spans="1:9" x14ac:dyDescent="0.25">
      <c r="A20" s="3"/>
      <c r="B20">
        <v>3</v>
      </c>
      <c r="C20" s="78">
        <v>10</v>
      </c>
      <c r="D20" s="79">
        <v>0</v>
      </c>
      <c r="E20" s="82">
        <v>0</v>
      </c>
      <c r="F20" s="58">
        <v>0.83</v>
      </c>
      <c r="G20" s="59">
        <f t="shared" si="2"/>
        <v>2.4727562500000001E-2</v>
      </c>
      <c r="H20" s="78">
        <v>326</v>
      </c>
      <c r="I20" s="65">
        <f t="shared" si="3"/>
        <v>5959.8399999999983</v>
      </c>
    </row>
    <row r="21" spans="1:9" x14ac:dyDescent="0.25">
      <c r="A21" s="3"/>
      <c r="B21">
        <v>4</v>
      </c>
      <c r="C21" s="78">
        <v>10</v>
      </c>
      <c r="D21" s="82">
        <v>0</v>
      </c>
      <c r="E21" s="82">
        <v>0</v>
      </c>
      <c r="F21" s="58">
        <v>0.54</v>
      </c>
      <c r="G21" s="59">
        <f t="shared" si="2"/>
        <v>1.762256249999998E-2</v>
      </c>
      <c r="H21" s="78">
        <v>200</v>
      </c>
      <c r="I21" s="65">
        <f t="shared" si="3"/>
        <v>2381.440000000001</v>
      </c>
    </row>
    <row r="22" spans="1:9" x14ac:dyDescent="0.25">
      <c r="A22" s="3"/>
      <c r="B22">
        <v>5</v>
      </c>
      <c r="C22" s="78">
        <v>10</v>
      </c>
      <c r="D22" s="82">
        <v>0</v>
      </c>
      <c r="E22" s="82">
        <v>0</v>
      </c>
      <c r="F22" s="58">
        <v>0.89559999999999995</v>
      </c>
      <c r="G22" s="59">
        <f t="shared" si="2"/>
        <v>4.9662122499999996E-2</v>
      </c>
      <c r="H22" s="78">
        <v>344</v>
      </c>
      <c r="I22" s="65">
        <f t="shared" si="3"/>
        <v>9063.0399999999972</v>
      </c>
    </row>
    <row r="23" spans="1:9" x14ac:dyDescent="0.25">
      <c r="A23" s="3"/>
      <c r="B23">
        <v>6</v>
      </c>
      <c r="C23" s="78">
        <v>10</v>
      </c>
      <c r="D23" s="82">
        <v>0</v>
      </c>
      <c r="E23" s="82">
        <v>0</v>
      </c>
      <c r="F23" s="58">
        <v>0.65229999999999999</v>
      </c>
      <c r="G23" s="59">
        <f t="shared" si="2"/>
        <v>4.1820249999999871E-4</v>
      </c>
      <c r="H23" s="78">
        <v>240</v>
      </c>
      <c r="I23" s="65">
        <f t="shared" si="3"/>
        <v>77.440000000000197</v>
      </c>
    </row>
    <row r="24" spans="1:9" x14ac:dyDescent="0.25">
      <c r="A24" s="3"/>
      <c r="B24">
        <v>7</v>
      </c>
      <c r="C24" s="78">
        <v>10</v>
      </c>
      <c r="D24" s="82">
        <v>0</v>
      </c>
      <c r="E24" s="82">
        <v>0</v>
      </c>
      <c r="F24" s="58">
        <v>0.77300000000000002</v>
      </c>
      <c r="G24" s="59">
        <f t="shared" si="2"/>
        <v>1.0050062500000012E-2</v>
      </c>
      <c r="H24" s="78">
        <v>260</v>
      </c>
      <c r="I24" s="65">
        <f t="shared" si="3"/>
        <v>125.43999999999974</v>
      </c>
    </row>
    <row r="25" spans="1:9" x14ac:dyDescent="0.25">
      <c r="A25" s="3"/>
      <c r="B25">
        <v>8</v>
      </c>
      <c r="C25" s="78">
        <v>10</v>
      </c>
      <c r="D25" s="82">
        <v>0</v>
      </c>
      <c r="E25" s="82">
        <v>0</v>
      </c>
      <c r="F25" s="58">
        <v>0.62119999999999997</v>
      </c>
      <c r="G25" s="59">
        <f t="shared" si="2"/>
        <v>2.6574024999999986E-3</v>
      </c>
      <c r="H25" s="78">
        <v>230</v>
      </c>
      <c r="I25" s="65">
        <f t="shared" si="3"/>
        <v>353.44000000000045</v>
      </c>
    </row>
    <row r="26" spans="1:9" x14ac:dyDescent="0.25">
      <c r="A26" s="3"/>
      <c r="B26">
        <v>9</v>
      </c>
      <c r="C26" s="78">
        <v>22</v>
      </c>
      <c r="D26" s="82">
        <v>45</v>
      </c>
      <c r="E26" s="82">
        <v>0</v>
      </c>
      <c r="F26" s="58">
        <v>0.68320000000000003</v>
      </c>
      <c r="G26" s="59">
        <f t="shared" si="2"/>
        <v>1.0920250000000147E-4</v>
      </c>
      <c r="H26" s="78">
        <v>255</v>
      </c>
      <c r="I26" s="65">
        <f t="shared" si="3"/>
        <v>38.439999999999856</v>
      </c>
    </row>
    <row r="27" spans="1:9" x14ac:dyDescent="0.25">
      <c r="A27" s="6"/>
      <c r="B27" s="8">
        <v>10</v>
      </c>
      <c r="C27" s="80">
        <v>10</v>
      </c>
      <c r="D27" s="81">
        <v>0</v>
      </c>
      <c r="E27" s="81">
        <v>0</v>
      </c>
      <c r="F27" s="60">
        <v>0.66349999999999998</v>
      </c>
      <c r="G27" s="59">
        <f t="shared" si="2"/>
        <v>8.5562499999999634E-5</v>
      </c>
      <c r="H27" s="80">
        <v>250</v>
      </c>
      <c r="I27" s="65">
        <f t="shared" si="3"/>
        <v>1.4399999999999726</v>
      </c>
    </row>
    <row r="28" spans="1:9" x14ac:dyDescent="0.25">
      <c r="A28" s="9" t="s">
        <v>35</v>
      </c>
      <c r="B28" s="69"/>
      <c r="C28" s="72">
        <f>AVERAGE(C18:C27)</f>
        <v>12.4</v>
      </c>
      <c r="D28" s="73">
        <f>AVERAGE(D18:D27)</f>
        <v>9</v>
      </c>
      <c r="E28" s="73">
        <f>AVERAGE(E18:E27)</f>
        <v>0</v>
      </c>
      <c r="F28" s="72">
        <f>AVERAGE(F18:F27)</f>
        <v>0.67274999999999996</v>
      </c>
      <c r="G28" s="73">
        <f>SQRT(AVERAGE(G18:G27))</f>
        <v>0.22874082385966879</v>
      </c>
      <c r="H28" s="74">
        <f>AVERAGE(H18:H27)</f>
        <v>248.8</v>
      </c>
      <c r="I28" s="75">
        <f>SQRT(AVERAGE(I18:I27))</f>
        <v>76.568661996929265</v>
      </c>
    </row>
    <row r="29" spans="1:9" ht="15.75" thickBot="1" x14ac:dyDescent="0.3">
      <c r="A29" s="70" t="s">
        <v>34</v>
      </c>
      <c r="B29" s="71"/>
      <c r="C29" s="61">
        <f>C28/$D$5</f>
        <v>0.14252873563218391</v>
      </c>
      <c r="D29" s="41">
        <f>D28/$D$5</f>
        <v>0.10344827586206896</v>
      </c>
      <c r="E29" s="41">
        <f>E28/$D$5</f>
        <v>0</v>
      </c>
      <c r="F29" s="54"/>
      <c r="G29" s="39"/>
      <c r="H29" s="54"/>
      <c r="I29" s="39"/>
    </row>
    <row r="30" spans="1:9" x14ac:dyDescent="0.25">
      <c r="A30" s="3" t="s">
        <v>18</v>
      </c>
      <c r="B30">
        <v>1</v>
      </c>
      <c r="C30" s="78">
        <v>0</v>
      </c>
      <c r="D30" s="79">
        <v>0</v>
      </c>
      <c r="E30" s="82">
        <v>0</v>
      </c>
      <c r="F30" s="58">
        <v>0.2049</v>
      </c>
      <c r="G30" s="59">
        <f>(F30-$F$40)^2</f>
        <v>9.1203999999999695E-6</v>
      </c>
      <c r="H30" s="78">
        <v>106</v>
      </c>
      <c r="I30" s="65">
        <f>(H30-$H$40)^2</f>
        <v>19.360000000000049</v>
      </c>
    </row>
    <row r="31" spans="1:9" x14ac:dyDescent="0.25">
      <c r="A31" s="3"/>
      <c r="B31">
        <v>2</v>
      </c>
      <c r="C31" s="78">
        <v>0</v>
      </c>
      <c r="D31" s="79">
        <v>0</v>
      </c>
      <c r="E31" s="82">
        <v>6</v>
      </c>
      <c r="F31" s="58">
        <v>0.1943</v>
      </c>
      <c r="G31" s="59">
        <f t="shared" ref="G31:G39" si="4">(F31-$F$40)^2</f>
        <v>5.7456400000000048E-5</v>
      </c>
      <c r="H31" s="78">
        <v>89</v>
      </c>
      <c r="I31" s="65">
        <f t="shared" ref="I31:I39" si="5">(H31-$H$40)^2</f>
        <v>158.75999999999985</v>
      </c>
    </row>
    <row r="32" spans="1:9" x14ac:dyDescent="0.25">
      <c r="A32" s="3"/>
      <c r="B32">
        <v>3</v>
      </c>
      <c r="C32" s="78">
        <v>0</v>
      </c>
      <c r="D32" s="79">
        <v>0</v>
      </c>
      <c r="E32" s="82">
        <v>0</v>
      </c>
      <c r="F32" s="58">
        <v>0.16139999999999999</v>
      </c>
      <c r="G32" s="59">
        <f t="shared" si="4"/>
        <v>1.6386304000000013E-3</v>
      </c>
      <c r="H32" s="78">
        <v>69</v>
      </c>
      <c r="I32" s="65">
        <f t="shared" si="5"/>
        <v>1062.7599999999995</v>
      </c>
    </row>
    <row r="33" spans="1:9" x14ac:dyDescent="0.25">
      <c r="A33" s="3"/>
      <c r="B33">
        <v>4</v>
      </c>
      <c r="C33" s="78">
        <v>0</v>
      </c>
      <c r="D33" s="82">
        <v>0</v>
      </c>
      <c r="E33" s="82">
        <v>3</v>
      </c>
      <c r="F33" s="58">
        <v>0.23960000000000001</v>
      </c>
      <c r="G33" s="59">
        <f t="shared" si="4"/>
        <v>1.4227984000000002E-3</v>
      </c>
      <c r="H33" s="78">
        <v>138</v>
      </c>
      <c r="I33" s="65">
        <f t="shared" si="5"/>
        <v>1324.9600000000005</v>
      </c>
    </row>
    <row r="34" spans="1:9" x14ac:dyDescent="0.25">
      <c r="A34" s="3"/>
      <c r="B34">
        <v>5</v>
      </c>
      <c r="C34" s="78">
        <v>0</v>
      </c>
      <c r="D34" s="82">
        <v>0</v>
      </c>
      <c r="E34" s="82">
        <v>9</v>
      </c>
      <c r="F34" s="58">
        <v>0.19789999999999999</v>
      </c>
      <c r="G34" s="59">
        <f t="shared" si="4"/>
        <v>1.584040000000009E-5</v>
      </c>
      <c r="H34" s="78">
        <v>106</v>
      </c>
      <c r="I34" s="65">
        <f t="shared" si="5"/>
        <v>19.360000000000049</v>
      </c>
    </row>
    <row r="35" spans="1:9" x14ac:dyDescent="0.25">
      <c r="A35" s="3"/>
      <c r="B35">
        <v>6</v>
      </c>
      <c r="C35" s="78">
        <v>0</v>
      </c>
      <c r="D35" s="82">
        <v>0</v>
      </c>
      <c r="E35" s="82">
        <v>0</v>
      </c>
      <c r="F35" s="58">
        <v>0.21340000000000001</v>
      </c>
      <c r="G35" s="59">
        <f t="shared" si="4"/>
        <v>1.3271040000000005E-4</v>
      </c>
      <c r="H35" s="78">
        <v>105</v>
      </c>
      <c r="I35" s="65">
        <f t="shared" si="5"/>
        <v>11.560000000000038</v>
      </c>
    </row>
    <row r="36" spans="1:9" x14ac:dyDescent="0.25">
      <c r="A36" s="3"/>
      <c r="B36">
        <v>7</v>
      </c>
      <c r="C36" s="78">
        <v>0</v>
      </c>
      <c r="D36" s="82">
        <v>0</v>
      </c>
      <c r="E36" s="82">
        <v>0</v>
      </c>
      <c r="F36" s="58">
        <v>0.1953</v>
      </c>
      <c r="G36" s="59">
        <f t="shared" si="4"/>
        <v>4.3296400000000035E-5</v>
      </c>
      <c r="H36" s="78">
        <v>98</v>
      </c>
      <c r="I36" s="65">
        <f t="shared" si="5"/>
        <v>12.959999999999958</v>
      </c>
    </row>
    <row r="37" spans="1:9" x14ac:dyDescent="0.25">
      <c r="A37" s="3"/>
      <c r="B37">
        <v>8</v>
      </c>
      <c r="C37" s="78">
        <v>0</v>
      </c>
      <c r="D37" s="82">
        <v>0</v>
      </c>
      <c r="E37" s="82">
        <v>4</v>
      </c>
      <c r="F37" s="58">
        <v>0.20499999999999999</v>
      </c>
      <c r="G37" s="59">
        <f t="shared" si="4"/>
        <v>9.7343999999998995E-6</v>
      </c>
      <c r="H37" s="78">
        <v>104</v>
      </c>
      <c r="I37" s="65">
        <f t="shared" si="5"/>
        <v>5.7600000000000273</v>
      </c>
    </row>
    <row r="38" spans="1:9" x14ac:dyDescent="0.25">
      <c r="A38" s="3"/>
      <c r="B38">
        <v>9</v>
      </c>
      <c r="C38" s="78">
        <v>0</v>
      </c>
      <c r="D38" s="82">
        <v>0</v>
      </c>
      <c r="E38" s="82">
        <v>0</v>
      </c>
      <c r="F38" s="58">
        <v>0.19500000000000001</v>
      </c>
      <c r="G38" s="59">
        <f t="shared" si="4"/>
        <v>4.7334399999999965E-5</v>
      </c>
      <c r="H38" s="78">
        <v>99</v>
      </c>
      <c r="I38" s="65">
        <f t="shared" si="5"/>
        <v>6.7599999999999705</v>
      </c>
    </row>
    <row r="39" spans="1:9" x14ac:dyDescent="0.25">
      <c r="A39" s="6"/>
      <c r="B39" s="8">
        <v>10</v>
      </c>
      <c r="C39" s="80">
        <v>0</v>
      </c>
      <c r="D39" s="81">
        <v>0</v>
      </c>
      <c r="E39" s="81">
        <v>3</v>
      </c>
      <c r="F39" s="60">
        <v>0.21199999999999999</v>
      </c>
      <c r="G39" s="59">
        <f t="shared" si="4"/>
        <v>1.024143999999998E-4</v>
      </c>
      <c r="H39" s="80">
        <v>102</v>
      </c>
      <c r="I39" s="65">
        <f t="shared" si="5"/>
        <v>0.16000000000000456</v>
      </c>
    </row>
    <row r="40" spans="1:9" x14ac:dyDescent="0.25">
      <c r="A40" s="9" t="s">
        <v>35</v>
      </c>
      <c r="B40" s="69"/>
      <c r="C40" s="72">
        <f>AVERAGE(C30:C39)</f>
        <v>0</v>
      </c>
      <c r="D40" s="73">
        <f>AVERAGE(D30:D39)</f>
        <v>0</v>
      </c>
      <c r="E40" s="73">
        <f>AVERAGE(E30:E39)</f>
        <v>2.5</v>
      </c>
      <c r="F40" s="72">
        <f>AVERAGE(F30:F39)</f>
        <v>0.20188</v>
      </c>
      <c r="G40" s="73">
        <f>SQRT(AVERAGE(G30:G39))</f>
        <v>1.8652978314467644E-2</v>
      </c>
      <c r="H40" s="74">
        <f>AVERAGE(H30:H39)</f>
        <v>101.6</v>
      </c>
      <c r="I40" s="75">
        <f>SQRT(AVERAGE(I30:I39))</f>
        <v>16.19382598399773</v>
      </c>
    </row>
    <row r="41" spans="1:9" ht="15.75" thickBot="1" x14ac:dyDescent="0.3">
      <c r="A41" s="70" t="s">
        <v>34</v>
      </c>
      <c r="B41" s="71"/>
      <c r="C41" s="61">
        <f>C40/$D$5</f>
        <v>0</v>
      </c>
      <c r="D41" s="41">
        <f>D40/$D$5</f>
        <v>0</v>
      </c>
      <c r="E41" s="41">
        <f>E40/$D$5</f>
        <v>2.8735632183908046E-2</v>
      </c>
      <c r="F41" s="54"/>
      <c r="G41" s="39"/>
      <c r="H41" s="54"/>
      <c r="I41" s="39"/>
    </row>
  </sheetData>
  <mergeCells count="19">
    <mergeCell ref="A41:B41"/>
    <mergeCell ref="A17:B17"/>
    <mergeCell ref="A18:A27"/>
    <mergeCell ref="A28:B28"/>
    <mergeCell ref="A29:B29"/>
    <mergeCell ref="A30:A39"/>
    <mergeCell ref="A40:B40"/>
    <mergeCell ref="C3:C4"/>
    <mergeCell ref="D3:D4"/>
    <mergeCell ref="E3:E4"/>
    <mergeCell ref="D5:E5"/>
    <mergeCell ref="A6:A15"/>
    <mergeCell ref="A16:B16"/>
    <mergeCell ref="A1:I1"/>
    <mergeCell ref="A2:A4"/>
    <mergeCell ref="B2:B4"/>
    <mergeCell ref="C2:E2"/>
    <mergeCell ref="F2:G3"/>
    <mergeCell ref="H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BDE7-AE45-40CB-A11B-1301C1DB1CB5}">
  <dimension ref="A1:AH82"/>
  <sheetViews>
    <sheetView tabSelected="1" workbookViewId="0">
      <selection activeCell="Q45" sqref="Q45"/>
    </sheetView>
  </sheetViews>
  <sheetFormatPr defaultRowHeight="15" x14ac:dyDescent="0.25"/>
  <cols>
    <col min="3" max="3" width="9.140625" style="10"/>
    <col min="17" max="18" width="9.140625" style="20"/>
    <col min="19" max="19" width="9.140625" style="10"/>
    <col min="21" max="22" width="9.140625" style="20"/>
    <col min="23" max="23" width="9.140625" style="10"/>
    <col min="27" max="28" width="9.140625" style="20"/>
    <col min="29" max="29" width="9.140625" style="19"/>
    <col min="30" max="30" width="9.140625" style="20"/>
    <col min="31" max="31" width="9.140625" style="45"/>
    <col min="32" max="32" width="9.140625" style="40" customWidth="1"/>
    <col min="33" max="34" width="9.140625" style="49"/>
  </cols>
  <sheetData>
    <row r="1" spans="1:34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2" t="s">
        <v>15</v>
      </c>
      <c r="B2" s="3" t="s">
        <v>0</v>
      </c>
      <c r="C2" s="14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5"/>
      <c r="S2" s="13" t="s">
        <v>12</v>
      </c>
      <c r="T2" s="5"/>
      <c r="U2" s="5"/>
      <c r="V2" s="16"/>
      <c r="W2" s="14" t="s">
        <v>13</v>
      </c>
      <c r="X2" s="4"/>
      <c r="Y2" s="4"/>
      <c r="Z2" s="4"/>
      <c r="AA2" s="4"/>
      <c r="AB2" s="4"/>
      <c r="AC2" s="25" t="s">
        <v>21</v>
      </c>
      <c r="AD2" s="26" t="s">
        <v>22</v>
      </c>
      <c r="AE2" s="52" t="s">
        <v>24</v>
      </c>
      <c r="AF2" s="3"/>
      <c r="AG2" s="52" t="s">
        <v>25</v>
      </c>
      <c r="AH2" s="3"/>
    </row>
    <row r="3" spans="1:34" x14ac:dyDescent="0.25">
      <c r="A3" s="2"/>
      <c r="B3" s="3"/>
      <c r="C3" s="14" t="s">
        <v>2</v>
      </c>
      <c r="D3" s="4"/>
      <c r="E3" s="4" t="s">
        <v>3</v>
      </c>
      <c r="F3" s="4"/>
      <c r="G3" s="4" t="s">
        <v>4</v>
      </c>
      <c r="H3" s="4"/>
      <c r="I3" s="4" t="s">
        <v>5</v>
      </c>
      <c r="J3" s="4"/>
      <c r="K3" s="4" t="s">
        <v>6</v>
      </c>
      <c r="L3" s="4"/>
      <c r="M3" s="4" t="s">
        <v>7</v>
      </c>
      <c r="N3" s="4"/>
      <c r="O3" s="4" t="s">
        <v>1</v>
      </c>
      <c r="P3" s="4"/>
      <c r="Q3" s="17" t="s">
        <v>19</v>
      </c>
      <c r="R3" s="17" t="s">
        <v>20</v>
      </c>
      <c r="S3" s="13"/>
      <c r="T3" s="5"/>
      <c r="U3" s="5"/>
      <c r="V3" s="16"/>
      <c r="W3" s="14" t="s">
        <v>4</v>
      </c>
      <c r="X3" s="4"/>
      <c r="Y3" s="4" t="s">
        <v>14</v>
      </c>
      <c r="Z3" s="4"/>
      <c r="AA3" s="17" t="s">
        <v>19</v>
      </c>
      <c r="AB3" s="17" t="s">
        <v>20</v>
      </c>
      <c r="AC3" s="25"/>
      <c r="AD3" s="26"/>
      <c r="AE3" s="52"/>
      <c r="AF3" s="3"/>
      <c r="AG3" s="52"/>
      <c r="AH3" s="3"/>
    </row>
    <row r="4" spans="1:34" x14ac:dyDescent="0.25">
      <c r="A4" s="6"/>
      <c r="B4" s="6"/>
      <c r="C4" s="7" t="s">
        <v>8</v>
      </c>
      <c r="D4" s="7" t="s">
        <v>9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  <c r="K4" s="7" t="s">
        <v>8</v>
      </c>
      <c r="L4" s="7" t="s">
        <v>9</v>
      </c>
      <c r="M4" s="7" t="s">
        <v>8</v>
      </c>
      <c r="N4" s="7" t="s">
        <v>9</v>
      </c>
      <c r="O4" s="7" t="s">
        <v>8</v>
      </c>
      <c r="P4" s="7" t="s">
        <v>9</v>
      </c>
      <c r="Q4" s="18"/>
      <c r="R4" s="18"/>
      <c r="S4" s="11" t="s">
        <v>8</v>
      </c>
      <c r="T4" s="7" t="s">
        <v>9</v>
      </c>
      <c r="U4" s="21" t="s">
        <v>19</v>
      </c>
      <c r="V4" s="21" t="s">
        <v>20</v>
      </c>
      <c r="W4" s="11" t="s">
        <v>8</v>
      </c>
      <c r="X4" s="7" t="s">
        <v>9</v>
      </c>
      <c r="Y4" s="7" t="s">
        <v>8</v>
      </c>
      <c r="Z4" s="7" t="s">
        <v>9</v>
      </c>
      <c r="AA4" s="18"/>
      <c r="AB4" s="18"/>
      <c r="AC4" s="27"/>
      <c r="AD4" s="28"/>
      <c r="AE4" s="56" t="s">
        <v>26</v>
      </c>
      <c r="AF4" s="43" t="s">
        <v>27</v>
      </c>
      <c r="AG4" s="62" t="s">
        <v>26</v>
      </c>
      <c r="AH4" s="47" t="s">
        <v>27</v>
      </c>
    </row>
    <row r="5" spans="1:34" ht="15.75" thickBot="1" x14ac:dyDescent="0.3">
      <c r="A5" s="30"/>
      <c r="B5" s="31" t="s">
        <v>10</v>
      </c>
      <c r="C5" s="76">
        <v>126</v>
      </c>
      <c r="D5" s="77">
        <v>126</v>
      </c>
      <c r="E5" s="77">
        <v>14</v>
      </c>
      <c r="F5" s="77">
        <v>14</v>
      </c>
      <c r="G5" s="77">
        <v>7</v>
      </c>
      <c r="H5" s="77">
        <v>7</v>
      </c>
      <c r="I5" s="77">
        <v>7</v>
      </c>
      <c r="J5" s="77">
        <v>7</v>
      </c>
      <c r="K5" s="77">
        <v>6</v>
      </c>
      <c r="L5" s="77">
        <v>6</v>
      </c>
      <c r="M5" s="77">
        <v>6</v>
      </c>
      <c r="N5" s="77">
        <v>6</v>
      </c>
      <c r="O5" s="77">
        <v>0</v>
      </c>
      <c r="P5" s="77">
        <v>0</v>
      </c>
      <c r="Q5" s="33">
        <v>1</v>
      </c>
      <c r="R5" s="33">
        <v>1</v>
      </c>
      <c r="S5" s="32">
        <v>2</v>
      </c>
      <c r="T5" s="30">
        <v>2</v>
      </c>
      <c r="U5" s="33">
        <v>1</v>
      </c>
      <c r="V5" s="33">
        <v>1</v>
      </c>
      <c r="W5" s="76">
        <v>17</v>
      </c>
      <c r="X5" s="77">
        <v>17</v>
      </c>
      <c r="Y5" s="77">
        <v>18</v>
      </c>
      <c r="Z5" s="77">
        <v>18</v>
      </c>
      <c r="AA5" s="33">
        <v>1</v>
      </c>
      <c r="AB5" s="33">
        <v>1</v>
      </c>
      <c r="AC5" s="34"/>
      <c r="AD5" s="33"/>
      <c r="AE5" s="57"/>
      <c r="AF5" s="44"/>
      <c r="AG5" s="63"/>
      <c r="AH5" s="48"/>
    </row>
    <row r="6" spans="1:34" x14ac:dyDescent="0.25">
      <c r="A6" s="3" t="s">
        <v>16</v>
      </c>
      <c r="B6">
        <v>1</v>
      </c>
      <c r="C6" s="78">
        <v>126</v>
      </c>
      <c r="D6" s="79">
        <v>126</v>
      </c>
      <c r="E6" s="79">
        <v>14</v>
      </c>
      <c r="F6" s="79">
        <v>14</v>
      </c>
      <c r="G6" s="79">
        <v>7</v>
      </c>
      <c r="H6" s="79">
        <v>7</v>
      </c>
      <c r="I6" s="79">
        <v>7</v>
      </c>
      <c r="J6" s="79">
        <v>7</v>
      </c>
      <c r="K6" s="79">
        <v>6</v>
      </c>
      <c r="L6" s="79">
        <v>6</v>
      </c>
      <c r="M6" s="79">
        <v>6</v>
      </c>
      <c r="N6" s="79">
        <v>6</v>
      </c>
      <c r="O6" s="79">
        <v>0</v>
      </c>
      <c r="P6" s="79">
        <v>0</v>
      </c>
      <c r="Q6" s="19">
        <f>(D6+F6+H6+J6+L6+N6+P6)/(C6+E6+G6+I6+K6+M6+O6)</f>
        <v>1</v>
      </c>
      <c r="R6" s="19">
        <f>(D6+F6+H6+J6+L6+N6+P6)/($D$5+$F$5+$H$5+$J$5+$L$5+$N$5+$P$5)</f>
        <v>1</v>
      </c>
      <c r="S6" s="78">
        <v>2</v>
      </c>
      <c r="T6" s="79">
        <v>2</v>
      </c>
      <c r="U6" s="19">
        <f>T6/S6</f>
        <v>1</v>
      </c>
      <c r="V6" s="19">
        <f>T6/$T$5</f>
        <v>1</v>
      </c>
      <c r="W6" s="78">
        <v>17</v>
      </c>
      <c r="X6" s="79">
        <v>17</v>
      </c>
      <c r="Y6" s="79">
        <v>18</v>
      </c>
      <c r="Z6" s="79">
        <v>18</v>
      </c>
      <c r="AA6" s="20">
        <f>IF(W6=0,1,X6/W6)*W6/(W6+Y6)+IF(Y6=0,1,Z6/Y6)*Y6/(W6+Y6)</f>
        <v>1</v>
      </c>
      <c r="AB6" s="20">
        <f>IF($X$5=0,1,X6/$X$5)*$X$5/($X$5+$Z$5)+IF($Z$5=0,1,Z6/$Z$5)*$Z$5/($X$5+$Z$5)</f>
        <v>1</v>
      </c>
      <c r="AC6" s="22">
        <f>(Q6+U6+AA6)/3</f>
        <v>1</v>
      </c>
      <c r="AD6" s="19">
        <f>(R6+V6+AB6)/3</f>
        <v>1</v>
      </c>
      <c r="AE6" s="58">
        <v>0.2172</v>
      </c>
      <c r="AF6" s="59">
        <f>(AE6-$AE$16)^2</f>
        <v>1.7556100000000227E-5</v>
      </c>
      <c r="AG6" s="78">
        <v>76</v>
      </c>
      <c r="AH6" s="65">
        <f>(AG6-$AG$16)^2</f>
        <v>22.090000000000028</v>
      </c>
    </row>
    <row r="7" spans="1:34" x14ac:dyDescent="0.25">
      <c r="A7" s="3"/>
      <c r="B7">
        <v>2</v>
      </c>
      <c r="C7" s="78">
        <v>126</v>
      </c>
      <c r="D7" s="79">
        <v>126</v>
      </c>
      <c r="E7" s="79">
        <v>14</v>
      </c>
      <c r="F7" s="79">
        <v>14</v>
      </c>
      <c r="G7" s="79">
        <v>7</v>
      </c>
      <c r="H7" s="79">
        <v>7</v>
      </c>
      <c r="I7" s="79">
        <v>7</v>
      </c>
      <c r="J7" s="79">
        <v>7</v>
      </c>
      <c r="K7" s="79">
        <v>6</v>
      </c>
      <c r="L7" s="79">
        <v>6</v>
      </c>
      <c r="M7" s="79">
        <v>6</v>
      </c>
      <c r="N7" s="79">
        <v>6</v>
      </c>
      <c r="O7" s="79">
        <v>187</v>
      </c>
      <c r="P7" s="79">
        <v>0</v>
      </c>
      <c r="Q7" s="19">
        <f t="shared" ref="Q7:Q15" si="0">(D7+F7+H7+J7+L7+N7+P7)/(C7+E7+G7+I7+K7+M7+O7)</f>
        <v>0.47025495750708213</v>
      </c>
      <c r="R7" s="19">
        <f t="shared" ref="R7:R15" si="1">(D7+F7+H7+J7+L7+N7+P7)/($D$5+$F$5+$H$5+$J$5+$L$5+$N$5+$P$5)</f>
        <v>1</v>
      </c>
      <c r="S7" s="78">
        <v>2</v>
      </c>
      <c r="T7" s="79">
        <v>2</v>
      </c>
      <c r="U7" s="19">
        <f t="shared" ref="U7:U15" si="2">T7/S7</f>
        <v>1</v>
      </c>
      <c r="V7" s="19">
        <f t="shared" ref="V7:V15" si="3">T7/$T$5</f>
        <v>1</v>
      </c>
      <c r="W7" s="78">
        <v>17</v>
      </c>
      <c r="X7" s="79">
        <v>17</v>
      </c>
      <c r="Y7" s="79">
        <v>18</v>
      </c>
      <c r="Z7" s="79">
        <v>18</v>
      </c>
      <c r="AA7" s="20">
        <f t="shared" ref="AA7:AA15" si="4">IF(W7=0,1,X7/W7)*W7/(W7+Y7)+IF(Y7=0,1,Z7/Y7)*Y7/(W7+Y7)</f>
        <v>1</v>
      </c>
      <c r="AB7" s="20">
        <f t="shared" ref="AB7:AB15" si="5">IF($X$5=0,1,X7/$X$5)*$X$5/($X$5+$Z$5)+IF($Z$5=0,1,Z7/$Z$5)*$Z$5/($X$5+$Z$5)</f>
        <v>1</v>
      </c>
      <c r="AC7" s="22">
        <f t="shared" ref="AC7:AD15" si="6">(Q7+U7+AA7)/3</f>
        <v>0.82341831916902741</v>
      </c>
      <c r="AD7" s="19">
        <f t="shared" si="6"/>
        <v>1</v>
      </c>
      <c r="AE7" s="58">
        <v>0.20580000000000001</v>
      </c>
      <c r="AF7" s="59">
        <f t="shared" ref="AF7:AF15" si="7">(AE7-$AE$16)^2</f>
        <v>2.4304810000000065E-4</v>
      </c>
      <c r="AG7" s="78">
        <v>80</v>
      </c>
      <c r="AH7" s="65">
        <f t="shared" ref="AH7:AH15" si="8">(AG7-$AG$16)^2</f>
        <v>75.690000000000055</v>
      </c>
    </row>
    <row r="8" spans="1:34" x14ac:dyDescent="0.25">
      <c r="A8" s="3"/>
      <c r="B8">
        <v>3</v>
      </c>
      <c r="C8" s="78">
        <v>126</v>
      </c>
      <c r="D8" s="79">
        <v>126</v>
      </c>
      <c r="E8" s="79">
        <v>14</v>
      </c>
      <c r="F8" s="79">
        <v>14</v>
      </c>
      <c r="G8" s="79">
        <v>7</v>
      </c>
      <c r="H8" s="79">
        <v>7</v>
      </c>
      <c r="I8" s="79">
        <v>7</v>
      </c>
      <c r="J8" s="79">
        <v>7</v>
      </c>
      <c r="K8" s="79">
        <v>6</v>
      </c>
      <c r="L8" s="79">
        <v>6</v>
      </c>
      <c r="M8" s="79">
        <v>6</v>
      </c>
      <c r="N8" s="79">
        <v>6</v>
      </c>
      <c r="O8" s="79">
        <v>0</v>
      </c>
      <c r="P8" s="79">
        <v>0</v>
      </c>
      <c r="Q8" s="19">
        <f t="shared" si="0"/>
        <v>1</v>
      </c>
      <c r="R8" s="19">
        <f t="shared" si="1"/>
        <v>1</v>
      </c>
      <c r="S8" s="78">
        <v>2</v>
      </c>
      <c r="T8" s="79">
        <v>2</v>
      </c>
      <c r="U8" s="19">
        <f t="shared" si="2"/>
        <v>1</v>
      </c>
      <c r="V8" s="19">
        <f t="shared" si="3"/>
        <v>1</v>
      </c>
      <c r="W8" s="78">
        <v>17</v>
      </c>
      <c r="X8" s="79">
        <v>17</v>
      </c>
      <c r="Y8" s="79">
        <v>18</v>
      </c>
      <c r="Z8" s="79">
        <v>18</v>
      </c>
      <c r="AA8" s="20">
        <f t="shared" si="4"/>
        <v>1</v>
      </c>
      <c r="AB8" s="20">
        <f t="shared" si="5"/>
        <v>1</v>
      </c>
      <c r="AC8" s="22">
        <f t="shared" si="6"/>
        <v>1</v>
      </c>
      <c r="AD8" s="19">
        <f t="shared" si="6"/>
        <v>1</v>
      </c>
      <c r="AE8" s="58">
        <v>0.13969999999999999</v>
      </c>
      <c r="AF8" s="59">
        <f t="shared" si="7"/>
        <v>6.6732561000000063E-3</v>
      </c>
      <c r="AG8" s="78">
        <v>76</v>
      </c>
      <c r="AH8" s="65">
        <f t="shared" si="8"/>
        <v>22.090000000000028</v>
      </c>
    </row>
    <row r="9" spans="1:34" x14ac:dyDescent="0.25">
      <c r="A9" s="3"/>
      <c r="B9">
        <v>4</v>
      </c>
      <c r="C9" s="78">
        <v>126</v>
      </c>
      <c r="D9" s="79">
        <v>126</v>
      </c>
      <c r="E9" s="79">
        <v>14</v>
      </c>
      <c r="F9" s="79">
        <v>14</v>
      </c>
      <c r="G9" s="79">
        <v>7</v>
      </c>
      <c r="H9" s="79">
        <v>7</v>
      </c>
      <c r="I9" s="79">
        <v>7</v>
      </c>
      <c r="J9" s="79">
        <v>7</v>
      </c>
      <c r="K9" s="79">
        <v>6</v>
      </c>
      <c r="L9" s="79">
        <v>6</v>
      </c>
      <c r="M9" s="79">
        <v>6</v>
      </c>
      <c r="N9" s="79">
        <v>6</v>
      </c>
      <c r="O9" s="79">
        <v>0</v>
      </c>
      <c r="P9" s="79">
        <v>0</v>
      </c>
      <c r="Q9" s="19">
        <f t="shared" si="0"/>
        <v>1</v>
      </c>
      <c r="R9" s="19">
        <f t="shared" si="1"/>
        <v>1</v>
      </c>
      <c r="S9" s="78">
        <v>2</v>
      </c>
      <c r="T9" s="79">
        <v>2</v>
      </c>
      <c r="U9" s="19">
        <f t="shared" si="2"/>
        <v>1</v>
      </c>
      <c r="V9" s="19">
        <f t="shared" si="3"/>
        <v>1</v>
      </c>
      <c r="W9" s="78">
        <v>17</v>
      </c>
      <c r="X9" s="79">
        <v>17</v>
      </c>
      <c r="Y9" s="79">
        <v>18</v>
      </c>
      <c r="Z9" s="79">
        <v>18</v>
      </c>
      <c r="AA9" s="20">
        <f t="shared" si="4"/>
        <v>1</v>
      </c>
      <c r="AB9" s="20">
        <f t="shared" si="5"/>
        <v>1</v>
      </c>
      <c r="AC9" s="22">
        <f t="shared" si="6"/>
        <v>1</v>
      </c>
      <c r="AD9" s="19">
        <f t="shared" si="6"/>
        <v>1</v>
      </c>
      <c r="AE9" s="58">
        <v>0.11219999999999999</v>
      </c>
      <c r="AF9" s="59">
        <f t="shared" si="7"/>
        <v>1.1922456100000008E-2</v>
      </c>
      <c r="AG9" s="78">
        <v>58</v>
      </c>
      <c r="AH9" s="65">
        <f t="shared" si="8"/>
        <v>176.88999999999993</v>
      </c>
    </row>
    <row r="10" spans="1:34" x14ac:dyDescent="0.25">
      <c r="A10" s="3"/>
      <c r="B10">
        <v>5</v>
      </c>
      <c r="C10" s="78">
        <v>126</v>
      </c>
      <c r="D10" s="79">
        <v>126</v>
      </c>
      <c r="E10" s="79">
        <v>14</v>
      </c>
      <c r="F10" s="79">
        <v>14</v>
      </c>
      <c r="G10" s="79">
        <v>7</v>
      </c>
      <c r="H10" s="79">
        <v>7</v>
      </c>
      <c r="I10" s="79">
        <v>7</v>
      </c>
      <c r="J10" s="79">
        <v>7</v>
      </c>
      <c r="K10" s="79">
        <v>6</v>
      </c>
      <c r="L10" s="79">
        <v>6</v>
      </c>
      <c r="M10" s="79">
        <v>6</v>
      </c>
      <c r="N10" s="79">
        <v>6</v>
      </c>
      <c r="O10" s="79">
        <v>0</v>
      </c>
      <c r="P10" s="79">
        <v>0</v>
      </c>
      <c r="Q10" s="19">
        <f t="shared" si="0"/>
        <v>1</v>
      </c>
      <c r="R10" s="19">
        <f t="shared" si="1"/>
        <v>1</v>
      </c>
      <c r="S10" s="78">
        <v>2</v>
      </c>
      <c r="T10" s="79">
        <v>2</v>
      </c>
      <c r="U10" s="19">
        <f t="shared" si="2"/>
        <v>1</v>
      </c>
      <c r="V10" s="19">
        <f t="shared" si="3"/>
        <v>1</v>
      </c>
      <c r="W10" s="78">
        <v>17</v>
      </c>
      <c r="X10" s="79">
        <v>17</v>
      </c>
      <c r="Y10" s="79">
        <v>18</v>
      </c>
      <c r="Z10" s="79">
        <v>18</v>
      </c>
      <c r="AA10" s="20">
        <f t="shared" si="4"/>
        <v>1</v>
      </c>
      <c r="AB10" s="20">
        <f t="shared" si="5"/>
        <v>1</v>
      </c>
      <c r="AC10" s="22">
        <f t="shared" si="6"/>
        <v>1</v>
      </c>
      <c r="AD10" s="19">
        <f t="shared" si="6"/>
        <v>1</v>
      </c>
      <c r="AE10" s="58">
        <v>0.32800000000000001</v>
      </c>
      <c r="AF10" s="59">
        <f t="shared" si="7"/>
        <v>1.1365692099999996E-2</v>
      </c>
      <c r="AG10" s="78">
        <v>77</v>
      </c>
      <c r="AH10" s="65">
        <f t="shared" si="8"/>
        <v>32.49000000000003</v>
      </c>
    </row>
    <row r="11" spans="1:34" x14ac:dyDescent="0.25">
      <c r="A11" s="3"/>
      <c r="B11">
        <v>6</v>
      </c>
      <c r="C11" s="78">
        <v>126</v>
      </c>
      <c r="D11" s="79">
        <v>126</v>
      </c>
      <c r="E11" s="79">
        <v>14</v>
      </c>
      <c r="F11" s="79">
        <v>14</v>
      </c>
      <c r="G11" s="79">
        <v>7</v>
      </c>
      <c r="H11" s="79">
        <v>7</v>
      </c>
      <c r="I11" s="79">
        <v>7</v>
      </c>
      <c r="J11" s="79">
        <v>7</v>
      </c>
      <c r="K11" s="79">
        <v>6</v>
      </c>
      <c r="L11" s="79">
        <v>6</v>
      </c>
      <c r="M11" s="79">
        <v>6</v>
      </c>
      <c r="N11" s="79">
        <v>6</v>
      </c>
      <c r="O11" s="79">
        <v>0</v>
      </c>
      <c r="P11" s="79">
        <v>0</v>
      </c>
      <c r="Q11" s="19">
        <f t="shared" si="0"/>
        <v>1</v>
      </c>
      <c r="R11" s="19">
        <f t="shared" si="1"/>
        <v>1</v>
      </c>
      <c r="S11" s="78">
        <v>2</v>
      </c>
      <c r="T11" s="79">
        <v>2</v>
      </c>
      <c r="U11" s="19">
        <f t="shared" si="2"/>
        <v>1</v>
      </c>
      <c r="V11" s="19">
        <f t="shared" si="3"/>
        <v>1</v>
      </c>
      <c r="W11" s="78">
        <v>17</v>
      </c>
      <c r="X11" s="79">
        <v>17</v>
      </c>
      <c r="Y11" s="79">
        <v>18</v>
      </c>
      <c r="Z11" s="79">
        <v>18</v>
      </c>
      <c r="AA11" s="20">
        <f t="shared" si="4"/>
        <v>1</v>
      </c>
      <c r="AB11" s="20">
        <f t="shared" si="5"/>
        <v>1</v>
      </c>
      <c r="AC11" s="22">
        <f t="shared" si="6"/>
        <v>1</v>
      </c>
      <c r="AD11" s="19">
        <f t="shared" si="6"/>
        <v>1</v>
      </c>
      <c r="AE11" s="58">
        <v>0.26939999999999997</v>
      </c>
      <c r="AF11" s="59">
        <f t="shared" si="7"/>
        <v>2.3049600999999944E-3</v>
      </c>
      <c r="AG11" s="78">
        <v>64</v>
      </c>
      <c r="AH11" s="65">
        <f t="shared" si="8"/>
        <v>53.289999999999957</v>
      </c>
    </row>
    <row r="12" spans="1:34" x14ac:dyDescent="0.25">
      <c r="A12" s="3"/>
      <c r="B12">
        <v>7</v>
      </c>
      <c r="C12" s="78">
        <v>126</v>
      </c>
      <c r="D12" s="79">
        <v>126</v>
      </c>
      <c r="E12" s="79">
        <v>14</v>
      </c>
      <c r="F12" s="79">
        <v>14</v>
      </c>
      <c r="G12" s="79">
        <v>7</v>
      </c>
      <c r="H12" s="79">
        <v>7</v>
      </c>
      <c r="I12" s="79">
        <v>7</v>
      </c>
      <c r="J12" s="79">
        <v>7</v>
      </c>
      <c r="K12" s="79">
        <v>6</v>
      </c>
      <c r="L12" s="79">
        <v>6</v>
      </c>
      <c r="M12" s="79">
        <v>6</v>
      </c>
      <c r="N12" s="79">
        <v>6</v>
      </c>
      <c r="O12" s="79">
        <v>0</v>
      </c>
      <c r="P12" s="79">
        <v>0</v>
      </c>
      <c r="Q12" s="19">
        <f t="shared" si="0"/>
        <v>1</v>
      </c>
      <c r="R12" s="19">
        <f t="shared" si="1"/>
        <v>1</v>
      </c>
      <c r="S12" s="78">
        <v>2</v>
      </c>
      <c r="T12" s="79">
        <v>2</v>
      </c>
      <c r="U12" s="19">
        <f t="shared" si="2"/>
        <v>1</v>
      </c>
      <c r="V12" s="19">
        <f t="shared" si="3"/>
        <v>1</v>
      </c>
      <c r="W12" s="78">
        <v>17</v>
      </c>
      <c r="X12" s="79">
        <v>17</v>
      </c>
      <c r="Y12" s="79">
        <v>18</v>
      </c>
      <c r="Z12" s="79">
        <v>18</v>
      </c>
      <c r="AA12" s="20">
        <f t="shared" si="4"/>
        <v>1</v>
      </c>
      <c r="AB12" s="20">
        <f t="shared" si="5"/>
        <v>1</v>
      </c>
      <c r="AC12" s="22">
        <f t="shared" si="6"/>
        <v>1</v>
      </c>
      <c r="AD12" s="19">
        <f t="shared" si="6"/>
        <v>1</v>
      </c>
      <c r="AE12" s="58">
        <v>0.19339999999999999</v>
      </c>
      <c r="AF12" s="59">
        <f t="shared" si="7"/>
        <v>7.8344010000000236E-4</v>
      </c>
      <c r="AG12" s="78">
        <v>81</v>
      </c>
      <c r="AH12" s="65">
        <f t="shared" si="8"/>
        <v>94.09000000000006</v>
      </c>
    </row>
    <row r="13" spans="1:34" x14ac:dyDescent="0.25">
      <c r="A13" s="3"/>
      <c r="B13">
        <v>8</v>
      </c>
      <c r="C13" s="78">
        <v>126</v>
      </c>
      <c r="D13" s="79">
        <v>126</v>
      </c>
      <c r="E13" s="79">
        <v>14</v>
      </c>
      <c r="F13" s="79">
        <v>14</v>
      </c>
      <c r="G13" s="79">
        <v>7</v>
      </c>
      <c r="H13" s="79">
        <v>7</v>
      </c>
      <c r="I13" s="79">
        <v>7</v>
      </c>
      <c r="J13" s="79">
        <v>7</v>
      </c>
      <c r="K13" s="79">
        <v>6</v>
      </c>
      <c r="L13" s="79">
        <v>6</v>
      </c>
      <c r="M13" s="79">
        <v>6</v>
      </c>
      <c r="N13" s="79">
        <v>6</v>
      </c>
      <c r="O13" s="79">
        <v>0</v>
      </c>
      <c r="P13" s="79">
        <v>0</v>
      </c>
      <c r="Q13" s="19">
        <f t="shared" si="0"/>
        <v>1</v>
      </c>
      <c r="R13" s="19">
        <f t="shared" si="1"/>
        <v>1</v>
      </c>
      <c r="S13" s="78">
        <v>2</v>
      </c>
      <c r="T13" s="79">
        <v>2</v>
      </c>
      <c r="U13" s="19">
        <f t="shared" si="2"/>
        <v>1</v>
      </c>
      <c r="V13" s="19">
        <f t="shared" si="3"/>
        <v>1</v>
      </c>
      <c r="W13" s="78">
        <v>17</v>
      </c>
      <c r="X13" s="79">
        <v>17</v>
      </c>
      <c r="Y13" s="79">
        <v>18</v>
      </c>
      <c r="Z13" s="79">
        <v>18</v>
      </c>
      <c r="AA13" s="20">
        <f t="shared" si="4"/>
        <v>1</v>
      </c>
      <c r="AB13" s="20">
        <f t="shared" si="5"/>
        <v>1</v>
      </c>
      <c r="AC13" s="22">
        <f t="shared" si="6"/>
        <v>1</v>
      </c>
      <c r="AD13" s="19">
        <f t="shared" si="6"/>
        <v>1</v>
      </c>
      <c r="AE13" s="58">
        <v>0.15340000000000001</v>
      </c>
      <c r="AF13" s="59">
        <f t="shared" si="7"/>
        <v>4.622640100000003E-3</v>
      </c>
      <c r="AG13" s="78">
        <v>77</v>
      </c>
      <c r="AH13" s="65">
        <f t="shared" si="8"/>
        <v>32.49000000000003</v>
      </c>
    </row>
    <row r="14" spans="1:34" x14ac:dyDescent="0.25">
      <c r="A14" s="3"/>
      <c r="B14">
        <v>9</v>
      </c>
      <c r="C14" s="78">
        <v>126</v>
      </c>
      <c r="D14" s="79">
        <v>126</v>
      </c>
      <c r="E14" s="79">
        <v>14</v>
      </c>
      <c r="F14" s="79">
        <v>14</v>
      </c>
      <c r="G14" s="79">
        <v>7</v>
      </c>
      <c r="H14" s="79">
        <v>7</v>
      </c>
      <c r="I14" s="79">
        <v>7</v>
      </c>
      <c r="J14" s="79">
        <v>7</v>
      </c>
      <c r="K14" s="79">
        <v>6</v>
      </c>
      <c r="L14" s="79">
        <v>6</v>
      </c>
      <c r="M14" s="79">
        <v>6</v>
      </c>
      <c r="N14" s="79">
        <v>6</v>
      </c>
      <c r="O14" s="79">
        <v>0</v>
      </c>
      <c r="P14" s="79">
        <v>0</v>
      </c>
      <c r="Q14" s="19">
        <f t="shared" si="0"/>
        <v>1</v>
      </c>
      <c r="R14" s="19">
        <f t="shared" si="1"/>
        <v>1</v>
      </c>
      <c r="S14" s="78">
        <v>2</v>
      </c>
      <c r="T14" s="79">
        <v>2</v>
      </c>
      <c r="U14" s="19">
        <f t="shared" si="2"/>
        <v>1</v>
      </c>
      <c r="V14" s="19">
        <f t="shared" si="3"/>
        <v>1</v>
      </c>
      <c r="W14" s="78">
        <v>17</v>
      </c>
      <c r="X14" s="79">
        <v>17</v>
      </c>
      <c r="Y14" s="79">
        <v>18</v>
      </c>
      <c r="Z14" s="79">
        <v>18</v>
      </c>
      <c r="AA14" s="20">
        <f t="shared" si="4"/>
        <v>1</v>
      </c>
      <c r="AB14" s="20">
        <f t="shared" si="5"/>
        <v>1</v>
      </c>
      <c r="AC14" s="22">
        <f t="shared" si="6"/>
        <v>1</v>
      </c>
      <c r="AD14" s="19">
        <f t="shared" si="6"/>
        <v>1</v>
      </c>
      <c r="AE14" s="58">
        <v>0.31019999999999998</v>
      </c>
      <c r="AF14" s="59">
        <f t="shared" si="7"/>
        <v>7.8872160999999899E-3</v>
      </c>
      <c r="AG14" s="78">
        <v>59</v>
      </c>
      <c r="AH14" s="65">
        <f t="shared" si="8"/>
        <v>151.28999999999994</v>
      </c>
    </row>
    <row r="15" spans="1:34" x14ac:dyDescent="0.25">
      <c r="A15" s="6"/>
      <c r="B15" s="8">
        <v>10</v>
      </c>
      <c r="C15" s="80">
        <v>126</v>
      </c>
      <c r="D15" s="81">
        <v>126</v>
      </c>
      <c r="E15" s="81">
        <v>14</v>
      </c>
      <c r="F15" s="81">
        <v>14</v>
      </c>
      <c r="G15" s="81">
        <v>7</v>
      </c>
      <c r="H15" s="81">
        <v>7</v>
      </c>
      <c r="I15" s="81">
        <v>7</v>
      </c>
      <c r="J15" s="81">
        <v>7</v>
      </c>
      <c r="K15" s="81">
        <v>6</v>
      </c>
      <c r="L15" s="81">
        <v>6</v>
      </c>
      <c r="M15" s="81">
        <v>6</v>
      </c>
      <c r="N15" s="81">
        <v>6</v>
      </c>
      <c r="O15" s="81">
        <v>0</v>
      </c>
      <c r="P15" s="81">
        <v>0</v>
      </c>
      <c r="Q15" s="24">
        <f t="shared" si="0"/>
        <v>1</v>
      </c>
      <c r="R15" s="24">
        <f t="shared" si="1"/>
        <v>1</v>
      </c>
      <c r="S15" s="80">
        <v>2</v>
      </c>
      <c r="T15" s="81">
        <v>2</v>
      </c>
      <c r="U15" s="24">
        <f t="shared" si="2"/>
        <v>1</v>
      </c>
      <c r="V15" s="24">
        <f t="shared" si="3"/>
        <v>1</v>
      </c>
      <c r="W15" s="80">
        <v>17</v>
      </c>
      <c r="X15" s="81">
        <v>17</v>
      </c>
      <c r="Y15" s="81">
        <v>18</v>
      </c>
      <c r="Z15" s="81">
        <v>18</v>
      </c>
      <c r="AA15" s="24">
        <f t="shared" si="4"/>
        <v>1</v>
      </c>
      <c r="AB15" s="24">
        <f t="shared" si="5"/>
        <v>1</v>
      </c>
      <c r="AC15" s="23">
        <f t="shared" si="6"/>
        <v>1</v>
      </c>
      <c r="AD15" s="24">
        <f t="shared" si="6"/>
        <v>1</v>
      </c>
      <c r="AE15" s="60">
        <v>0.28460000000000002</v>
      </c>
      <c r="AF15" s="46">
        <f t="shared" si="7"/>
        <v>3.9955040999999983E-3</v>
      </c>
      <c r="AG15" s="80">
        <v>65</v>
      </c>
      <c r="AH15" s="50">
        <f t="shared" si="8"/>
        <v>39.689999999999962</v>
      </c>
    </row>
    <row r="16" spans="1:34" ht="15.75" thickBot="1" x14ac:dyDescent="0.3">
      <c r="A16" s="35"/>
      <c r="B16" s="30"/>
      <c r="C16" s="32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3"/>
      <c r="R16" s="33"/>
      <c r="S16" s="32"/>
      <c r="T16" s="30"/>
      <c r="U16" s="33"/>
      <c r="V16" s="33"/>
      <c r="W16" s="32"/>
      <c r="X16" s="30"/>
      <c r="Y16" s="30"/>
      <c r="Z16" s="30"/>
      <c r="AA16" s="33"/>
      <c r="AB16" s="33"/>
      <c r="AC16" s="36">
        <f>AVERAGE(AC6:AC15)</f>
        <v>0.98234183191690272</v>
      </c>
      <c r="AD16" s="37">
        <f>AVERAGE(AD6:AD15)</f>
        <v>1</v>
      </c>
      <c r="AE16" s="61">
        <f>AVERAGE(AE6:AE15)</f>
        <v>0.22139000000000003</v>
      </c>
      <c r="AF16" s="41">
        <f>SQRT(AVERAGE(AF6:AF15))</f>
        <v>7.058028690788952E-2</v>
      </c>
      <c r="AG16" s="67">
        <f>AVERAGE(AG6:AG15)</f>
        <v>71.3</v>
      </c>
      <c r="AH16" s="42">
        <f>SQRT(AVERAGE(AH6:AH15))</f>
        <v>8.3671978583035802</v>
      </c>
    </row>
    <row r="17" spans="1:34" x14ac:dyDescent="0.25">
      <c r="A17" s="3" t="s">
        <v>17</v>
      </c>
      <c r="B17">
        <v>1</v>
      </c>
      <c r="C17" s="78">
        <v>126</v>
      </c>
      <c r="D17" s="79">
        <v>126</v>
      </c>
      <c r="E17" s="79">
        <v>14</v>
      </c>
      <c r="F17" s="79">
        <v>14</v>
      </c>
      <c r="G17" s="79">
        <v>7</v>
      </c>
      <c r="H17" s="79">
        <v>7</v>
      </c>
      <c r="I17" s="79">
        <v>7</v>
      </c>
      <c r="J17" s="79">
        <v>7</v>
      </c>
      <c r="K17" s="79">
        <v>6</v>
      </c>
      <c r="L17" s="79">
        <v>6</v>
      </c>
      <c r="M17" s="79">
        <v>6</v>
      </c>
      <c r="N17" s="79">
        <v>6</v>
      </c>
      <c r="O17" s="79">
        <v>187</v>
      </c>
      <c r="P17" s="79">
        <v>0</v>
      </c>
      <c r="Q17" s="19">
        <f>(D17+F17+H17+J17+L17+N17+P17)/(C17+E17+G17+I17+K17+M17+O17)</f>
        <v>0.47025495750708213</v>
      </c>
      <c r="R17" s="19">
        <f>(D17+F17+H17+J17+L17+N17+P17)/($D$5+$F$5+$H$5+$J$5+$L$5+$N$5+$P$5)</f>
        <v>1</v>
      </c>
      <c r="S17" s="78">
        <v>2</v>
      </c>
      <c r="T17" s="79">
        <v>2</v>
      </c>
      <c r="U17" s="19">
        <f>T17/S17</f>
        <v>1</v>
      </c>
      <c r="V17" s="19">
        <f>T17/$T$5</f>
        <v>1</v>
      </c>
      <c r="W17" s="78">
        <v>17</v>
      </c>
      <c r="X17" s="79">
        <v>17</v>
      </c>
      <c r="Y17" s="79">
        <v>18</v>
      </c>
      <c r="Z17" s="79">
        <v>18</v>
      </c>
      <c r="AA17" s="20">
        <f>IF(W17=0,1,X17/W17)*W17/(W17+Y17)+IF(Y17=0,1,Z17/Y17)*Y17/(W17+Y17)</f>
        <v>1</v>
      </c>
      <c r="AB17" s="20">
        <f>IF($X$5=0,1,X17/$X$5)*$X$5/($X$5+$Z$5)+IF($Z$5=0,1,Z17/$Z$5)*$Z$5/($X$5+$Z$5)</f>
        <v>1</v>
      </c>
      <c r="AC17" s="22">
        <f>(Q17+U17+AA17)/3</f>
        <v>0.82341831916902741</v>
      </c>
      <c r="AD17" s="19">
        <f>(R17+V17+AB17)/3</f>
        <v>1</v>
      </c>
      <c r="AE17" s="58">
        <v>0.23230000000000001</v>
      </c>
      <c r="AF17" s="59">
        <f>(AE17-$AE$27)^2</f>
        <v>2.4641296000000017E-3</v>
      </c>
      <c r="AG17" s="78">
        <v>97</v>
      </c>
      <c r="AH17" s="65">
        <f>(AG17-$AG$27)^2</f>
        <v>219.03999999999991</v>
      </c>
    </row>
    <row r="18" spans="1:34" x14ac:dyDescent="0.25">
      <c r="A18" s="3"/>
      <c r="B18">
        <v>2</v>
      </c>
      <c r="C18" s="78">
        <v>126</v>
      </c>
      <c r="D18" s="79">
        <v>126</v>
      </c>
      <c r="E18" s="79">
        <v>14</v>
      </c>
      <c r="F18" s="79">
        <v>14</v>
      </c>
      <c r="G18" s="79">
        <v>7</v>
      </c>
      <c r="H18" s="79">
        <v>7</v>
      </c>
      <c r="I18" s="79">
        <v>7</v>
      </c>
      <c r="J18" s="79">
        <v>7</v>
      </c>
      <c r="K18" s="79">
        <v>6</v>
      </c>
      <c r="L18" s="79">
        <v>6</v>
      </c>
      <c r="M18" s="79">
        <v>6</v>
      </c>
      <c r="N18" s="79">
        <v>6</v>
      </c>
      <c r="O18" s="79">
        <v>187</v>
      </c>
      <c r="P18" s="79">
        <v>0</v>
      </c>
      <c r="Q18" s="19">
        <f t="shared" ref="Q18:Q26" si="9">(D18+F18+H18+J18+L18+N18+P18)/(C18+E18+G18+I18+K18+M18+O18)</f>
        <v>0.47025495750708213</v>
      </c>
      <c r="R18" s="19">
        <f t="shared" ref="R18:R26" si="10">(D18+F18+H18+J18+L18+N18+P18)/($D$5+$F$5+$H$5+$J$5+$L$5+$N$5+$P$5)</f>
        <v>1</v>
      </c>
      <c r="S18" s="78">
        <v>2</v>
      </c>
      <c r="T18" s="79">
        <v>2</v>
      </c>
      <c r="U18" s="19">
        <f t="shared" ref="U18:U26" si="11">T18/S18</f>
        <v>1</v>
      </c>
      <c r="V18" s="19">
        <f t="shared" ref="V18:V26" si="12">T18/$T$5</f>
        <v>1</v>
      </c>
      <c r="W18" s="78">
        <v>17</v>
      </c>
      <c r="X18" s="79">
        <v>17</v>
      </c>
      <c r="Y18" s="79">
        <v>18</v>
      </c>
      <c r="Z18" s="79">
        <v>18</v>
      </c>
      <c r="AA18" s="20">
        <f t="shared" ref="AA18:AA26" si="13">IF(W18=0,1,X18/W18)*W18/(W18+Y18)+IF(Y18=0,1,Z18/Y18)*Y18/(W18+Y18)</f>
        <v>1</v>
      </c>
      <c r="AB18" s="20">
        <f t="shared" ref="AB18:AB26" si="14">IF($X$5=0,1,X18/$X$5)*$X$5/($X$5+$Z$5)+IF($Z$5=0,1,Z18/$Z$5)*$Z$5/($X$5+$Z$5)</f>
        <v>1</v>
      </c>
      <c r="AC18" s="22">
        <f t="shared" ref="AC18:AD26" si="15">(Q18+U18+AA18)/3</f>
        <v>0.82341831916902741</v>
      </c>
      <c r="AD18" s="19">
        <f t="shared" si="15"/>
        <v>1</v>
      </c>
      <c r="AE18" s="58">
        <v>0.22520000000000001</v>
      </c>
      <c r="AF18" s="59">
        <f t="shared" ref="AF18:AF26" si="16">(AE18-$AE$27)^2</f>
        <v>1.809651600000002E-3</v>
      </c>
      <c r="AG18" s="78">
        <v>96</v>
      </c>
      <c r="AH18" s="65">
        <f t="shared" ref="AH18:AH26" si="17">(AG18-$AG$27)^2</f>
        <v>190.43999999999991</v>
      </c>
    </row>
    <row r="19" spans="1:34" x14ac:dyDescent="0.25">
      <c r="A19" s="3"/>
      <c r="B19">
        <v>3</v>
      </c>
      <c r="C19" s="78">
        <v>126</v>
      </c>
      <c r="D19" s="79">
        <v>126</v>
      </c>
      <c r="E19" s="79">
        <v>14</v>
      </c>
      <c r="F19" s="79">
        <v>14</v>
      </c>
      <c r="G19" s="79">
        <v>7</v>
      </c>
      <c r="H19" s="79">
        <v>7</v>
      </c>
      <c r="I19" s="79">
        <v>7</v>
      </c>
      <c r="J19" s="79">
        <v>7</v>
      </c>
      <c r="K19" s="79">
        <v>6</v>
      </c>
      <c r="L19" s="79">
        <v>6</v>
      </c>
      <c r="M19" s="79">
        <v>6</v>
      </c>
      <c r="N19" s="79">
        <v>6</v>
      </c>
      <c r="O19" s="79">
        <v>0</v>
      </c>
      <c r="P19" s="79">
        <v>0</v>
      </c>
      <c r="Q19" s="19">
        <f t="shared" si="9"/>
        <v>1</v>
      </c>
      <c r="R19" s="19">
        <f t="shared" si="10"/>
        <v>1</v>
      </c>
      <c r="S19" s="78">
        <v>2</v>
      </c>
      <c r="T19" s="79">
        <v>2</v>
      </c>
      <c r="U19" s="19">
        <f t="shared" si="11"/>
        <v>1</v>
      </c>
      <c r="V19" s="19">
        <f t="shared" si="12"/>
        <v>1</v>
      </c>
      <c r="W19" s="78">
        <v>19</v>
      </c>
      <c r="X19" s="79">
        <v>17</v>
      </c>
      <c r="Y19" s="79">
        <v>18</v>
      </c>
      <c r="Z19" s="79">
        <v>18</v>
      </c>
      <c r="AA19" s="20">
        <f t="shared" si="13"/>
        <v>0.94594594594594605</v>
      </c>
      <c r="AB19" s="20">
        <f t="shared" si="14"/>
        <v>1</v>
      </c>
      <c r="AC19" s="22">
        <f t="shared" si="15"/>
        <v>0.98198198198198205</v>
      </c>
      <c r="AD19" s="19">
        <f t="shared" si="15"/>
        <v>1</v>
      </c>
      <c r="AE19" s="58">
        <v>0.1767</v>
      </c>
      <c r="AF19" s="59">
        <f t="shared" si="16"/>
        <v>3.5521599999999914E-5</v>
      </c>
      <c r="AG19" s="78">
        <v>85</v>
      </c>
      <c r="AH19" s="65">
        <f t="shared" si="17"/>
        <v>7.8399999999999839</v>
      </c>
    </row>
    <row r="20" spans="1:34" x14ac:dyDescent="0.25">
      <c r="A20" s="3"/>
      <c r="B20">
        <v>4</v>
      </c>
      <c r="C20" s="78">
        <v>126</v>
      </c>
      <c r="D20" s="79">
        <v>126</v>
      </c>
      <c r="E20" s="79">
        <v>14</v>
      </c>
      <c r="F20" s="79">
        <v>14</v>
      </c>
      <c r="G20" s="79">
        <v>7</v>
      </c>
      <c r="H20" s="79">
        <v>7</v>
      </c>
      <c r="I20" s="79">
        <v>7</v>
      </c>
      <c r="J20" s="79">
        <v>7</v>
      </c>
      <c r="K20" s="79">
        <v>6</v>
      </c>
      <c r="L20" s="79">
        <v>6</v>
      </c>
      <c r="M20" s="79">
        <v>6</v>
      </c>
      <c r="N20" s="79">
        <v>6</v>
      </c>
      <c r="O20" s="79">
        <v>0</v>
      </c>
      <c r="P20" s="79">
        <v>0</v>
      </c>
      <c r="Q20" s="19">
        <f t="shared" si="9"/>
        <v>1</v>
      </c>
      <c r="R20" s="19">
        <f t="shared" si="10"/>
        <v>1</v>
      </c>
      <c r="S20" s="78">
        <v>2</v>
      </c>
      <c r="T20" s="79">
        <v>2</v>
      </c>
      <c r="U20" s="19">
        <f t="shared" si="11"/>
        <v>1</v>
      </c>
      <c r="V20" s="19">
        <f t="shared" si="12"/>
        <v>1</v>
      </c>
      <c r="W20" s="78">
        <v>17</v>
      </c>
      <c r="X20" s="79">
        <v>17</v>
      </c>
      <c r="Y20" s="79">
        <v>18</v>
      </c>
      <c r="Z20" s="79">
        <v>18</v>
      </c>
      <c r="AA20" s="20">
        <f t="shared" si="13"/>
        <v>1</v>
      </c>
      <c r="AB20" s="20">
        <f t="shared" si="14"/>
        <v>1</v>
      </c>
      <c r="AC20" s="22">
        <f t="shared" si="15"/>
        <v>1</v>
      </c>
      <c r="AD20" s="19">
        <f t="shared" si="15"/>
        <v>1</v>
      </c>
      <c r="AE20" s="58">
        <v>0.1197</v>
      </c>
      <c r="AF20" s="59">
        <f t="shared" si="16"/>
        <v>3.9639615999999987E-3</v>
      </c>
      <c r="AG20" s="78">
        <v>58</v>
      </c>
      <c r="AH20" s="65">
        <f t="shared" si="17"/>
        <v>585.6400000000001</v>
      </c>
    </row>
    <row r="21" spans="1:34" x14ac:dyDescent="0.25">
      <c r="A21" s="3"/>
      <c r="B21">
        <v>5</v>
      </c>
      <c r="C21" s="78">
        <v>126</v>
      </c>
      <c r="D21" s="79">
        <v>126</v>
      </c>
      <c r="E21" s="79">
        <v>14</v>
      </c>
      <c r="F21" s="79">
        <v>14</v>
      </c>
      <c r="G21" s="79">
        <v>7</v>
      </c>
      <c r="H21" s="79">
        <v>7</v>
      </c>
      <c r="I21" s="79">
        <v>7</v>
      </c>
      <c r="J21" s="79">
        <v>7</v>
      </c>
      <c r="K21" s="79">
        <v>6</v>
      </c>
      <c r="L21" s="79">
        <v>6</v>
      </c>
      <c r="M21" s="79">
        <v>6</v>
      </c>
      <c r="N21" s="79">
        <v>6</v>
      </c>
      <c r="O21" s="79">
        <v>0</v>
      </c>
      <c r="P21" s="79">
        <v>0</v>
      </c>
      <c r="Q21" s="19">
        <f t="shared" si="9"/>
        <v>1</v>
      </c>
      <c r="R21" s="19">
        <f t="shared" si="10"/>
        <v>1</v>
      </c>
      <c r="S21" s="78">
        <v>2</v>
      </c>
      <c r="T21" s="79">
        <v>2</v>
      </c>
      <c r="U21" s="19">
        <f t="shared" si="11"/>
        <v>1</v>
      </c>
      <c r="V21" s="19">
        <f t="shared" si="12"/>
        <v>1</v>
      </c>
      <c r="W21" s="78">
        <v>17</v>
      </c>
      <c r="X21" s="79">
        <v>17</v>
      </c>
      <c r="Y21" s="79">
        <v>18</v>
      </c>
      <c r="Z21" s="79">
        <v>18</v>
      </c>
      <c r="AA21" s="20">
        <f t="shared" si="13"/>
        <v>1</v>
      </c>
      <c r="AB21" s="20">
        <f t="shared" si="14"/>
        <v>1</v>
      </c>
      <c r="AC21" s="22">
        <f t="shared" si="15"/>
        <v>1</v>
      </c>
      <c r="AD21" s="19">
        <f t="shared" si="15"/>
        <v>1</v>
      </c>
      <c r="AE21" s="58">
        <v>0.19159999999999999</v>
      </c>
      <c r="AF21" s="59">
        <f t="shared" si="16"/>
        <v>7.9923600000000056E-5</v>
      </c>
      <c r="AG21" s="78">
        <v>90</v>
      </c>
      <c r="AH21" s="65">
        <f t="shared" si="17"/>
        <v>60.839999999999954</v>
      </c>
    </row>
    <row r="22" spans="1:34" x14ac:dyDescent="0.25">
      <c r="A22" s="3"/>
      <c r="B22">
        <v>6</v>
      </c>
      <c r="C22" s="78">
        <v>126</v>
      </c>
      <c r="D22" s="79">
        <v>126</v>
      </c>
      <c r="E22" s="79">
        <v>14</v>
      </c>
      <c r="F22" s="79">
        <v>14</v>
      </c>
      <c r="G22" s="79">
        <v>7</v>
      </c>
      <c r="H22" s="79">
        <v>7</v>
      </c>
      <c r="I22" s="79">
        <v>7</v>
      </c>
      <c r="J22" s="79">
        <v>7</v>
      </c>
      <c r="K22" s="79">
        <v>6</v>
      </c>
      <c r="L22" s="79">
        <v>6</v>
      </c>
      <c r="M22" s="79">
        <v>6</v>
      </c>
      <c r="N22" s="79">
        <v>6</v>
      </c>
      <c r="O22" s="82">
        <v>0</v>
      </c>
      <c r="P22" s="79">
        <v>0</v>
      </c>
      <c r="Q22" s="19">
        <f t="shared" si="9"/>
        <v>1</v>
      </c>
      <c r="R22" s="19">
        <f t="shared" si="10"/>
        <v>1</v>
      </c>
      <c r="S22" s="78">
        <v>2</v>
      </c>
      <c r="T22" s="79">
        <v>2</v>
      </c>
      <c r="U22" s="19">
        <f t="shared" si="11"/>
        <v>1</v>
      </c>
      <c r="V22" s="19">
        <f t="shared" si="12"/>
        <v>1</v>
      </c>
      <c r="W22" s="78">
        <v>17</v>
      </c>
      <c r="X22" s="79">
        <v>17</v>
      </c>
      <c r="Y22" s="79">
        <v>18</v>
      </c>
      <c r="Z22" s="79">
        <v>18</v>
      </c>
      <c r="AA22" s="20">
        <f t="shared" si="13"/>
        <v>1</v>
      </c>
      <c r="AB22" s="20">
        <f t="shared" si="14"/>
        <v>1</v>
      </c>
      <c r="AC22" s="22">
        <f t="shared" si="15"/>
        <v>1</v>
      </c>
      <c r="AD22" s="19">
        <f t="shared" si="15"/>
        <v>1</v>
      </c>
      <c r="AE22" s="58">
        <v>0.2031</v>
      </c>
      <c r="AF22" s="59">
        <f t="shared" si="16"/>
        <v>4.1779360000000055E-4</v>
      </c>
      <c r="AG22" s="78">
        <v>74</v>
      </c>
      <c r="AH22" s="65">
        <f t="shared" si="17"/>
        <v>67.240000000000052</v>
      </c>
    </row>
    <row r="23" spans="1:34" x14ac:dyDescent="0.25">
      <c r="A23" s="3"/>
      <c r="B23">
        <v>7</v>
      </c>
      <c r="C23" s="78">
        <v>126</v>
      </c>
      <c r="D23" s="79">
        <v>126</v>
      </c>
      <c r="E23" s="79">
        <v>14</v>
      </c>
      <c r="F23" s="79">
        <v>14</v>
      </c>
      <c r="G23" s="79">
        <v>7</v>
      </c>
      <c r="H23" s="79">
        <v>7</v>
      </c>
      <c r="I23" s="79">
        <v>7</v>
      </c>
      <c r="J23" s="79">
        <v>7</v>
      </c>
      <c r="K23" s="79">
        <v>6</v>
      </c>
      <c r="L23" s="79">
        <v>6</v>
      </c>
      <c r="M23" s="79">
        <v>6</v>
      </c>
      <c r="N23" s="79">
        <v>6</v>
      </c>
      <c r="O23" s="79">
        <v>187</v>
      </c>
      <c r="P23" s="79">
        <v>0</v>
      </c>
      <c r="Q23" s="19">
        <f t="shared" si="9"/>
        <v>0.47025495750708213</v>
      </c>
      <c r="R23" s="19">
        <f t="shared" si="10"/>
        <v>1</v>
      </c>
      <c r="S23" s="78">
        <v>2</v>
      </c>
      <c r="T23" s="79">
        <v>2</v>
      </c>
      <c r="U23" s="19">
        <f t="shared" si="11"/>
        <v>1</v>
      </c>
      <c r="V23" s="19">
        <f t="shared" si="12"/>
        <v>1</v>
      </c>
      <c r="W23" s="78">
        <v>19</v>
      </c>
      <c r="X23" s="79">
        <v>17</v>
      </c>
      <c r="Y23" s="79">
        <v>18</v>
      </c>
      <c r="Z23" s="79">
        <v>18</v>
      </c>
      <c r="AA23" s="20">
        <f t="shared" si="13"/>
        <v>0.94594594594594605</v>
      </c>
      <c r="AB23" s="20">
        <f t="shared" si="14"/>
        <v>1</v>
      </c>
      <c r="AC23" s="22">
        <f t="shared" si="15"/>
        <v>0.80540030115100947</v>
      </c>
      <c r="AD23" s="19">
        <f t="shared" si="15"/>
        <v>1</v>
      </c>
      <c r="AE23" s="58">
        <v>0.1923</v>
      </c>
      <c r="AF23" s="59">
        <f t="shared" si="16"/>
        <v>9.2929600000000182E-5</v>
      </c>
      <c r="AG23" s="78">
        <v>91</v>
      </c>
      <c r="AH23" s="65">
        <f t="shared" si="17"/>
        <v>77.439999999999955</v>
      </c>
    </row>
    <row r="24" spans="1:34" x14ac:dyDescent="0.25">
      <c r="A24" s="3"/>
      <c r="B24">
        <v>8</v>
      </c>
      <c r="C24" s="78">
        <v>126</v>
      </c>
      <c r="D24" s="79">
        <v>126</v>
      </c>
      <c r="E24" s="79">
        <v>14</v>
      </c>
      <c r="F24" s="79">
        <v>14</v>
      </c>
      <c r="G24" s="79">
        <v>7</v>
      </c>
      <c r="H24" s="79">
        <v>7</v>
      </c>
      <c r="I24" s="79">
        <v>7</v>
      </c>
      <c r="J24" s="79">
        <v>7</v>
      </c>
      <c r="K24" s="79">
        <v>6</v>
      </c>
      <c r="L24" s="79">
        <v>6</v>
      </c>
      <c r="M24" s="79">
        <v>6</v>
      </c>
      <c r="N24" s="79">
        <v>6</v>
      </c>
      <c r="O24" s="79">
        <v>0</v>
      </c>
      <c r="P24" s="79">
        <v>0</v>
      </c>
      <c r="Q24" s="19">
        <f t="shared" si="9"/>
        <v>1</v>
      </c>
      <c r="R24" s="19">
        <f t="shared" si="10"/>
        <v>1</v>
      </c>
      <c r="S24" s="78">
        <v>2</v>
      </c>
      <c r="T24" s="79">
        <v>2</v>
      </c>
      <c r="U24" s="19">
        <f t="shared" si="11"/>
        <v>1</v>
      </c>
      <c r="V24" s="19">
        <f t="shared" si="12"/>
        <v>1</v>
      </c>
      <c r="W24" s="78">
        <v>17</v>
      </c>
      <c r="X24" s="79">
        <v>17</v>
      </c>
      <c r="Y24" s="79">
        <v>18</v>
      </c>
      <c r="Z24" s="79">
        <v>18</v>
      </c>
      <c r="AA24" s="20">
        <f t="shared" si="13"/>
        <v>1</v>
      </c>
      <c r="AB24" s="20">
        <f t="shared" si="14"/>
        <v>1</v>
      </c>
      <c r="AC24" s="22">
        <f t="shared" si="15"/>
        <v>1</v>
      </c>
      <c r="AD24" s="19">
        <f t="shared" si="15"/>
        <v>1</v>
      </c>
      <c r="AE24" s="58">
        <v>0.16320000000000001</v>
      </c>
      <c r="AF24" s="59">
        <f t="shared" si="16"/>
        <v>3.7869159999999913E-4</v>
      </c>
      <c r="AG24" s="78">
        <v>63</v>
      </c>
      <c r="AH24" s="65">
        <f t="shared" si="17"/>
        <v>368.6400000000001</v>
      </c>
    </row>
    <row r="25" spans="1:34" x14ac:dyDescent="0.25">
      <c r="A25" s="3"/>
      <c r="B25">
        <v>9</v>
      </c>
      <c r="C25" s="78">
        <v>126</v>
      </c>
      <c r="D25" s="79">
        <v>126</v>
      </c>
      <c r="E25" s="79">
        <v>14</v>
      </c>
      <c r="F25" s="79">
        <v>14</v>
      </c>
      <c r="G25" s="79">
        <v>7</v>
      </c>
      <c r="H25" s="79">
        <v>7</v>
      </c>
      <c r="I25" s="79">
        <v>7</v>
      </c>
      <c r="J25" s="79">
        <v>7</v>
      </c>
      <c r="K25" s="79">
        <v>6</v>
      </c>
      <c r="L25" s="79">
        <v>6</v>
      </c>
      <c r="M25" s="79">
        <v>6</v>
      </c>
      <c r="N25" s="79">
        <v>6</v>
      </c>
      <c r="O25" s="79">
        <v>0</v>
      </c>
      <c r="P25" s="79">
        <v>0</v>
      </c>
      <c r="Q25" s="19">
        <f t="shared" si="9"/>
        <v>1</v>
      </c>
      <c r="R25" s="19">
        <f t="shared" si="10"/>
        <v>1</v>
      </c>
      <c r="S25" s="78">
        <v>2</v>
      </c>
      <c r="T25" s="79">
        <v>2</v>
      </c>
      <c r="U25" s="19">
        <f t="shared" si="11"/>
        <v>1</v>
      </c>
      <c r="V25" s="19">
        <f t="shared" si="12"/>
        <v>1</v>
      </c>
      <c r="W25" s="78">
        <v>17</v>
      </c>
      <c r="X25" s="79">
        <v>17</v>
      </c>
      <c r="Y25" s="79">
        <v>18</v>
      </c>
      <c r="Z25" s="79">
        <v>18</v>
      </c>
      <c r="AA25" s="20">
        <f t="shared" si="13"/>
        <v>1</v>
      </c>
      <c r="AB25" s="20">
        <f t="shared" si="14"/>
        <v>1</v>
      </c>
      <c r="AC25" s="22">
        <f t="shared" si="15"/>
        <v>1</v>
      </c>
      <c r="AD25" s="19">
        <f t="shared" si="15"/>
        <v>1</v>
      </c>
      <c r="AE25" s="58">
        <v>0.13830000000000001</v>
      </c>
      <c r="AF25" s="59">
        <f t="shared" si="16"/>
        <v>1.9678095999999985E-3</v>
      </c>
      <c r="AG25" s="78">
        <v>79</v>
      </c>
      <c r="AH25" s="65">
        <f t="shared" si="17"/>
        <v>10.240000000000018</v>
      </c>
    </row>
    <row r="26" spans="1:34" x14ac:dyDescent="0.25">
      <c r="A26" s="6"/>
      <c r="B26" s="8">
        <v>10</v>
      </c>
      <c r="C26" s="80">
        <v>126</v>
      </c>
      <c r="D26" s="81">
        <v>126</v>
      </c>
      <c r="E26" s="81">
        <v>14</v>
      </c>
      <c r="F26" s="81">
        <v>14</v>
      </c>
      <c r="G26" s="81">
        <v>7</v>
      </c>
      <c r="H26" s="81">
        <v>7</v>
      </c>
      <c r="I26" s="81">
        <v>7</v>
      </c>
      <c r="J26" s="81">
        <v>7</v>
      </c>
      <c r="K26" s="81">
        <v>6</v>
      </c>
      <c r="L26" s="81">
        <v>6</v>
      </c>
      <c r="M26" s="81">
        <v>6</v>
      </c>
      <c r="N26" s="81">
        <v>6</v>
      </c>
      <c r="O26" s="81">
        <v>0</v>
      </c>
      <c r="P26" s="81">
        <v>0</v>
      </c>
      <c r="Q26" s="24">
        <f t="shared" si="9"/>
        <v>1</v>
      </c>
      <c r="R26" s="24">
        <f t="shared" si="10"/>
        <v>1</v>
      </c>
      <c r="S26" s="80">
        <v>2</v>
      </c>
      <c r="T26" s="81">
        <v>2</v>
      </c>
      <c r="U26" s="24">
        <f t="shared" si="11"/>
        <v>1</v>
      </c>
      <c r="V26" s="24">
        <f t="shared" si="12"/>
        <v>1</v>
      </c>
      <c r="W26" s="80">
        <v>17</v>
      </c>
      <c r="X26" s="81">
        <v>17</v>
      </c>
      <c r="Y26" s="81">
        <v>18</v>
      </c>
      <c r="Z26" s="81">
        <v>18</v>
      </c>
      <c r="AA26" s="24">
        <f t="shared" si="13"/>
        <v>1</v>
      </c>
      <c r="AB26" s="24">
        <f t="shared" si="14"/>
        <v>1</v>
      </c>
      <c r="AC26" s="23">
        <f t="shared" si="15"/>
        <v>1</v>
      </c>
      <c r="AD26" s="24">
        <f t="shared" si="15"/>
        <v>1</v>
      </c>
      <c r="AE26" s="60">
        <v>0.1842</v>
      </c>
      <c r="AF26" s="46">
        <f t="shared" si="16"/>
        <v>2.3716000000000418E-6</v>
      </c>
      <c r="AG26" s="80">
        <v>89</v>
      </c>
      <c r="AH26" s="50">
        <f t="shared" si="17"/>
        <v>46.239999999999959</v>
      </c>
    </row>
    <row r="27" spans="1:34" ht="15.75" thickBot="1" x14ac:dyDescent="0.3">
      <c r="A27" s="35"/>
      <c r="B27" s="30"/>
      <c r="C27" s="32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3"/>
      <c r="R27" s="33"/>
      <c r="S27" s="32"/>
      <c r="T27" s="30"/>
      <c r="U27" s="33"/>
      <c r="V27" s="33"/>
      <c r="W27" s="32"/>
      <c r="X27" s="30"/>
      <c r="Y27" s="30"/>
      <c r="Z27" s="30"/>
      <c r="AA27" s="33"/>
      <c r="AB27" s="33"/>
      <c r="AC27" s="36">
        <f>AVERAGE(AC17:AC26)</f>
        <v>0.9434218921471047</v>
      </c>
      <c r="AD27" s="37">
        <f>AVERAGE(AD17:AD26)</f>
        <v>1</v>
      </c>
      <c r="AE27" s="61">
        <f>AVERAGE(AE17:AE26)</f>
        <v>0.18265999999999999</v>
      </c>
      <c r="AF27" s="41">
        <f>SQRT(AVERAGE(AF17:AF26))</f>
        <v>3.3485495367397505E-2</v>
      </c>
      <c r="AG27" s="67">
        <f>AVERAGE(AG17:AG26)</f>
        <v>82.2</v>
      </c>
      <c r="AH27" s="42">
        <f>SQRT(AVERAGE(AH17:AH26))</f>
        <v>12.781236246936365</v>
      </c>
    </row>
    <row r="28" spans="1:34" x14ac:dyDescent="0.25">
      <c r="A28" s="3" t="s">
        <v>18</v>
      </c>
      <c r="B28">
        <v>1</v>
      </c>
      <c r="C28" s="78">
        <v>126</v>
      </c>
      <c r="D28" s="79">
        <v>126</v>
      </c>
      <c r="E28" s="79">
        <v>14</v>
      </c>
      <c r="F28" s="79">
        <v>14</v>
      </c>
      <c r="G28" s="79">
        <v>7</v>
      </c>
      <c r="H28" s="79">
        <v>7</v>
      </c>
      <c r="I28" s="79">
        <v>7</v>
      </c>
      <c r="J28" s="79">
        <v>7</v>
      </c>
      <c r="K28" s="79">
        <v>6</v>
      </c>
      <c r="L28" s="79">
        <v>6</v>
      </c>
      <c r="M28" s="79">
        <v>6</v>
      </c>
      <c r="N28" s="79">
        <v>6</v>
      </c>
      <c r="O28" s="79">
        <v>0</v>
      </c>
      <c r="P28" s="79">
        <v>0</v>
      </c>
      <c r="Q28" s="19">
        <f>(D28+F28+H28+J28+L28+N28+P28)/(C28+E28+G28+I28+K28+M28+O28)</f>
        <v>1</v>
      </c>
      <c r="R28" s="19">
        <f>(D28+F28+H28+J28+L28+N28+P28)/($D$5+$F$5+$H$5+$J$5+$L$5+$N$5+$P$5)</f>
        <v>1</v>
      </c>
      <c r="S28" s="78">
        <v>2</v>
      </c>
      <c r="T28" s="79">
        <v>2</v>
      </c>
      <c r="U28" s="19">
        <f>T28/S28</f>
        <v>1</v>
      </c>
      <c r="V28" s="19">
        <f>T28/$T$5</f>
        <v>1</v>
      </c>
      <c r="W28" s="78">
        <v>17</v>
      </c>
      <c r="X28" s="79">
        <v>17</v>
      </c>
      <c r="Y28" s="79">
        <v>18</v>
      </c>
      <c r="Z28" s="79">
        <v>18</v>
      </c>
      <c r="AA28" s="20">
        <f>IF(W28=0,1,X28/W28)*W28/(W28+Y28)+IF(Y28=0,1,Z28/Y28)*Y28/(W28+Y28)</f>
        <v>1</v>
      </c>
      <c r="AB28" s="20">
        <f>IF($X$5=0,1,X28/$X$5)*$X$5/($X$5+$Z$5)+IF($Z$5=0,1,Z28/$Z$5)*$Z$5/($X$5+$Z$5)</f>
        <v>1</v>
      </c>
      <c r="AC28" s="22">
        <f>(Q28+U28+AA28)/3</f>
        <v>1</v>
      </c>
      <c r="AD28" s="19">
        <f>(R28+V28+AB28)/3</f>
        <v>1</v>
      </c>
      <c r="AE28" s="58">
        <v>0.1988</v>
      </c>
      <c r="AF28" s="59">
        <f>(AE28-$AE$38)^2</f>
        <v>1.5713295999999985E-3</v>
      </c>
      <c r="AG28" s="78">
        <v>74</v>
      </c>
      <c r="AH28" s="65">
        <f>(AG28-$AG$38)^2</f>
        <v>92.159999999999897</v>
      </c>
    </row>
    <row r="29" spans="1:34" x14ac:dyDescent="0.25">
      <c r="A29" s="3"/>
      <c r="B29">
        <v>2</v>
      </c>
      <c r="C29" s="78">
        <v>126</v>
      </c>
      <c r="D29" s="79">
        <v>126</v>
      </c>
      <c r="E29" s="79">
        <v>14</v>
      </c>
      <c r="F29" s="79">
        <v>14</v>
      </c>
      <c r="G29" s="79">
        <v>7</v>
      </c>
      <c r="H29" s="79">
        <v>7</v>
      </c>
      <c r="I29" s="79">
        <v>7</v>
      </c>
      <c r="J29" s="79">
        <v>7</v>
      </c>
      <c r="K29" s="79">
        <v>6</v>
      </c>
      <c r="L29" s="79">
        <v>6</v>
      </c>
      <c r="M29" s="79">
        <v>6</v>
      </c>
      <c r="N29" s="79">
        <v>6</v>
      </c>
      <c r="O29" s="79">
        <v>0</v>
      </c>
      <c r="P29" s="79">
        <v>0</v>
      </c>
      <c r="Q29" s="19">
        <f t="shared" ref="Q29:Q37" si="18">(D29+F29+H29+J29+L29+N29+P29)/(C29+E29+G29+I29+K29+M29+O29)</f>
        <v>1</v>
      </c>
      <c r="R29" s="19">
        <f t="shared" ref="R29:R37" si="19">(D29+F29+H29+J29+L29+N29+P29)/($D$5+$F$5+$H$5+$J$5+$L$5+$N$5+$P$5)</f>
        <v>1</v>
      </c>
      <c r="S29" s="78">
        <v>2</v>
      </c>
      <c r="T29" s="79">
        <v>2</v>
      </c>
      <c r="U29" s="19">
        <f t="shared" ref="U29:U37" si="20">T29/S29</f>
        <v>1</v>
      </c>
      <c r="V29" s="19">
        <f t="shared" ref="V29:V37" si="21">T29/$T$5</f>
        <v>1</v>
      </c>
      <c r="W29" s="78">
        <v>17</v>
      </c>
      <c r="X29" s="79">
        <v>17</v>
      </c>
      <c r="Y29" s="79">
        <v>18</v>
      </c>
      <c r="Z29" s="79">
        <v>18</v>
      </c>
      <c r="AA29" s="20">
        <f t="shared" ref="AA29:AA37" si="22">IF(W29=0,1,X29/W29)*W29/(W29+Y29)+IF(Y29=0,1,Z29/Y29)*Y29/(W29+Y29)</f>
        <v>1</v>
      </c>
      <c r="AB29" s="20">
        <f t="shared" ref="AB29:AB37" si="23">IF($X$5=0,1,X29/$X$5)*$X$5/($X$5+$Z$5)+IF($Z$5=0,1,Z29/$Z$5)*$Z$5/($X$5+$Z$5)</f>
        <v>1</v>
      </c>
      <c r="AC29" s="22">
        <f t="shared" ref="AC29:AD37" si="24">(Q29+U29+AA29)/3</f>
        <v>1</v>
      </c>
      <c r="AD29" s="19">
        <f t="shared" si="24"/>
        <v>1</v>
      </c>
      <c r="AE29" s="58">
        <v>0.1552</v>
      </c>
      <c r="AF29" s="59">
        <f t="shared" ref="AF29:AF37" si="25">(AE29-$AE$38)^2</f>
        <v>1.5681600000000152E-5</v>
      </c>
      <c r="AG29" s="78">
        <v>60</v>
      </c>
      <c r="AH29" s="65">
        <f t="shared" ref="AH29:AH37" si="26">(AG29-$AG$38)^2</f>
        <v>19.360000000000049</v>
      </c>
    </row>
    <row r="30" spans="1:34" x14ac:dyDescent="0.25">
      <c r="A30" s="3"/>
      <c r="B30">
        <v>3</v>
      </c>
      <c r="C30" s="78">
        <v>126</v>
      </c>
      <c r="D30" s="79">
        <v>126</v>
      </c>
      <c r="E30" s="79">
        <v>14</v>
      </c>
      <c r="F30" s="79">
        <v>14</v>
      </c>
      <c r="G30" s="79">
        <v>7</v>
      </c>
      <c r="H30" s="79">
        <v>7</v>
      </c>
      <c r="I30" s="79">
        <v>7</v>
      </c>
      <c r="J30" s="79">
        <v>7</v>
      </c>
      <c r="K30" s="79">
        <v>6</v>
      </c>
      <c r="L30" s="79">
        <v>6</v>
      </c>
      <c r="M30" s="79">
        <v>6</v>
      </c>
      <c r="N30" s="79">
        <v>6</v>
      </c>
      <c r="O30" s="79">
        <v>0</v>
      </c>
      <c r="P30" s="79">
        <v>0</v>
      </c>
      <c r="Q30" s="19">
        <f t="shared" si="18"/>
        <v>1</v>
      </c>
      <c r="R30" s="19">
        <f t="shared" si="19"/>
        <v>1</v>
      </c>
      <c r="S30" s="78">
        <v>2</v>
      </c>
      <c r="T30" s="79">
        <v>2</v>
      </c>
      <c r="U30" s="19">
        <f t="shared" si="20"/>
        <v>1</v>
      </c>
      <c r="V30" s="19">
        <f t="shared" si="21"/>
        <v>1</v>
      </c>
      <c r="W30" s="78">
        <v>17</v>
      </c>
      <c r="X30" s="79">
        <v>17</v>
      </c>
      <c r="Y30" s="79">
        <v>18</v>
      </c>
      <c r="Z30" s="79">
        <v>18</v>
      </c>
      <c r="AA30" s="20">
        <f t="shared" si="22"/>
        <v>1</v>
      </c>
      <c r="AB30" s="20">
        <f t="shared" si="23"/>
        <v>1</v>
      </c>
      <c r="AC30" s="22">
        <f t="shared" si="24"/>
        <v>1</v>
      </c>
      <c r="AD30" s="19">
        <f t="shared" si="24"/>
        <v>1</v>
      </c>
      <c r="AE30" s="58">
        <v>0.1353</v>
      </c>
      <c r="AF30" s="59">
        <f t="shared" si="25"/>
        <v>5.6929960000000096E-4</v>
      </c>
      <c r="AG30" s="78">
        <v>52</v>
      </c>
      <c r="AH30" s="65">
        <f t="shared" si="26"/>
        <v>153.76000000000013</v>
      </c>
    </row>
    <row r="31" spans="1:34" x14ac:dyDescent="0.25">
      <c r="A31" s="3"/>
      <c r="B31">
        <v>4</v>
      </c>
      <c r="C31" s="78">
        <v>126</v>
      </c>
      <c r="D31" s="79">
        <v>126</v>
      </c>
      <c r="E31" s="79">
        <v>14</v>
      </c>
      <c r="F31" s="79">
        <v>14</v>
      </c>
      <c r="G31" s="79">
        <v>7</v>
      </c>
      <c r="H31" s="79">
        <v>7</v>
      </c>
      <c r="I31" s="79">
        <v>7</v>
      </c>
      <c r="J31" s="79">
        <v>7</v>
      </c>
      <c r="K31" s="79">
        <v>6</v>
      </c>
      <c r="L31" s="79">
        <v>6</v>
      </c>
      <c r="M31" s="79">
        <v>6</v>
      </c>
      <c r="N31" s="79">
        <v>6</v>
      </c>
      <c r="O31" s="79">
        <v>0</v>
      </c>
      <c r="P31" s="79">
        <v>0</v>
      </c>
      <c r="Q31" s="19">
        <f t="shared" si="18"/>
        <v>1</v>
      </c>
      <c r="R31" s="19">
        <f t="shared" si="19"/>
        <v>1</v>
      </c>
      <c r="S31" s="78">
        <v>2</v>
      </c>
      <c r="T31" s="79">
        <v>2</v>
      </c>
      <c r="U31" s="19">
        <f t="shared" si="20"/>
        <v>1</v>
      </c>
      <c r="V31" s="19">
        <f t="shared" si="21"/>
        <v>1</v>
      </c>
      <c r="W31" s="78">
        <v>17</v>
      </c>
      <c r="X31" s="79">
        <v>17</v>
      </c>
      <c r="Y31" s="79">
        <v>18</v>
      </c>
      <c r="Z31" s="79">
        <v>18</v>
      </c>
      <c r="AA31" s="20">
        <f t="shared" si="22"/>
        <v>1</v>
      </c>
      <c r="AB31" s="20">
        <f t="shared" si="23"/>
        <v>1</v>
      </c>
      <c r="AC31" s="22">
        <f t="shared" si="24"/>
        <v>1</v>
      </c>
      <c r="AD31" s="19">
        <f t="shared" si="24"/>
        <v>1</v>
      </c>
      <c r="AE31" s="58">
        <v>0.15920000000000001</v>
      </c>
      <c r="AF31" s="59">
        <f t="shared" si="25"/>
        <v>1.5999999999987595E-9</v>
      </c>
      <c r="AG31" s="78">
        <v>69</v>
      </c>
      <c r="AH31" s="65">
        <f t="shared" si="26"/>
        <v>21.159999999999947</v>
      </c>
    </row>
    <row r="32" spans="1:34" x14ac:dyDescent="0.25">
      <c r="A32" s="3"/>
      <c r="B32">
        <v>5</v>
      </c>
      <c r="C32" s="78">
        <v>126</v>
      </c>
      <c r="D32" s="79">
        <v>126</v>
      </c>
      <c r="E32" s="79">
        <v>14</v>
      </c>
      <c r="F32" s="79">
        <v>14</v>
      </c>
      <c r="G32" s="79">
        <v>7</v>
      </c>
      <c r="H32" s="79">
        <v>7</v>
      </c>
      <c r="I32" s="79">
        <v>7</v>
      </c>
      <c r="J32" s="79">
        <v>7</v>
      </c>
      <c r="K32" s="79">
        <v>6</v>
      </c>
      <c r="L32" s="79">
        <v>6</v>
      </c>
      <c r="M32" s="79">
        <v>6</v>
      </c>
      <c r="N32" s="79">
        <v>6</v>
      </c>
      <c r="O32" s="79">
        <v>0</v>
      </c>
      <c r="P32" s="79">
        <v>0</v>
      </c>
      <c r="Q32" s="19">
        <f t="shared" si="18"/>
        <v>1</v>
      </c>
      <c r="R32" s="19">
        <f t="shared" si="19"/>
        <v>1</v>
      </c>
      <c r="S32" s="78">
        <v>2</v>
      </c>
      <c r="T32" s="79">
        <v>2</v>
      </c>
      <c r="U32" s="19">
        <f t="shared" si="20"/>
        <v>1</v>
      </c>
      <c r="V32" s="19">
        <f t="shared" si="21"/>
        <v>1</v>
      </c>
      <c r="W32" s="78">
        <v>17</v>
      </c>
      <c r="X32" s="79">
        <v>17</v>
      </c>
      <c r="Y32" s="79">
        <v>18</v>
      </c>
      <c r="Z32" s="79">
        <v>18</v>
      </c>
      <c r="AA32" s="20">
        <f t="shared" si="22"/>
        <v>1</v>
      </c>
      <c r="AB32" s="20">
        <f t="shared" si="23"/>
        <v>1</v>
      </c>
      <c r="AC32" s="22">
        <f t="shared" si="24"/>
        <v>1</v>
      </c>
      <c r="AD32" s="19">
        <f t="shared" si="24"/>
        <v>1</v>
      </c>
      <c r="AE32" s="58">
        <v>0.16619999999999999</v>
      </c>
      <c r="AF32" s="59">
        <f t="shared" si="25"/>
        <v>4.9561599999999482E-5</v>
      </c>
      <c r="AG32" s="78">
        <v>71</v>
      </c>
      <c r="AH32" s="65">
        <f t="shared" si="26"/>
        <v>43.559999999999924</v>
      </c>
    </row>
    <row r="33" spans="1:34" x14ac:dyDescent="0.25">
      <c r="A33" s="3"/>
      <c r="B33">
        <v>6</v>
      </c>
      <c r="C33" s="78">
        <v>126</v>
      </c>
      <c r="D33" s="79">
        <v>126</v>
      </c>
      <c r="E33" s="79">
        <v>14</v>
      </c>
      <c r="F33" s="79">
        <v>14</v>
      </c>
      <c r="G33" s="79">
        <v>7</v>
      </c>
      <c r="H33" s="79">
        <v>7</v>
      </c>
      <c r="I33" s="79">
        <v>7</v>
      </c>
      <c r="J33" s="79">
        <v>7</v>
      </c>
      <c r="K33" s="79">
        <v>6</v>
      </c>
      <c r="L33" s="79">
        <v>6</v>
      </c>
      <c r="M33" s="79">
        <v>6</v>
      </c>
      <c r="N33" s="79">
        <v>6</v>
      </c>
      <c r="O33" s="79">
        <v>0</v>
      </c>
      <c r="P33" s="79">
        <v>0</v>
      </c>
      <c r="Q33" s="19">
        <f t="shared" si="18"/>
        <v>1</v>
      </c>
      <c r="R33" s="19">
        <f t="shared" si="19"/>
        <v>1</v>
      </c>
      <c r="S33" s="78">
        <v>2</v>
      </c>
      <c r="T33" s="79">
        <v>2</v>
      </c>
      <c r="U33" s="19">
        <f t="shared" si="20"/>
        <v>1</v>
      </c>
      <c r="V33" s="19">
        <f t="shared" si="21"/>
        <v>1</v>
      </c>
      <c r="W33" s="78">
        <v>17</v>
      </c>
      <c r="X33" s="79">
        <v>17</v>
      </c>
      <c r="Y33" s="79">
        <v>18</v>
      </c>
      <c r="Z33" s="79">
        <v>18</v>
      </c>
      <c r="AA33" s="20">
        <f t="shared" si="22"/>
        <v>1</v>
      </c>
      <c r="AB33" s="20">
        <f t="shared" si="23"/>
        <v>1</v>
      </c>
      <c r="AC33" s="22">
        <f t="shared" si="24"/>
        <v>1</v>
      </c>
      <c r="AD33" s="19">
        <f t="shared" si="24"/>
        <v>1</v>
      </c>
      <c r="AE33" s="58">
        <v>0.12839999999999999</v>
      </c>
      <c r="AF33" s="59">
        <f t="shared" si="25"/>
        <v>9.4617760000000224E-4</v>
      </c>
      <c r="AG33" s="78">
        <v>73</v>
      </c>
      <c r="AH33" s="65">
        <f t="shared" si="26"/>
        <v>73.959999999999908</v>
      </c>
    </row>
    <row r="34" spans="1:34" x14ac:dyDescent="0.25">
      <c r="A34" s="3"/>
      <c r="B34">
        <v>7</v>
      </c>
      <c r="C34" s="78">
        <v>126</v>
      </c>
      <c r="D34" s="79">
        <v>126</v>
      </c>
      <c r="E34" s="79">
        <v>14</v>
      </c>
      <c r="F34" s="79">
        <v>14</v>
      </c>
      <c r="G34" s="79">
        <v>7</v>
      </c>
      <c r="H34" s="79">
        <v>7</v>
      </c>
      <c r="I34" s="79">
        <v>7</v>
      </c>
      <c r="J34" s="79">
        <v>7</v>
      </c>
      <c r="K34" s="79">
        <v>6</v>
      </c>
      <c r="L34" s="79">
        <v>6</v>
      </c>
      <c r="M34" s="79">
        <v>6</v>
      </c>
      <c r="N34" s="79">
        <v>6</v>
      </c>
      <c r="O34" s="79">
        <v>0</v>
      </c>
      <c r="P34" s="79">
        <v>0</v>
      </c>
      <c r="Q34" s="19">
        <f t="shared" si="18"/>
        <v>1</v>
      </c>
      <c r="R34" s="19">
        <f t="shared" si="19"/>
        <v>1</v>
      </c>
      <c r="S34" s="78">
        <v>2</v>
      </c>
      <c r="T34" s="79">
        <v>2</v>
      </c>
      <c r="U34" s="19">
        <f t="shared" si="20"/>
        <v>1</v>
      </c>
      <c r="V34" s="19">
        <f t="shared" si="21"/>
        <v>1</v>
      </c>
      <c r="W34" s="78">
        <v>17</v>
      </c>
      <c r="X34" s="79">
        <v>17</v>
      </c>
      <c r="Y34" s="79">
        <v>18</v>
      </c>
      <c r="Z34" s="79">
        <v>18</v>
      </c>
      <c r="AA34" s="20">
        <f t="shared" si="22"/>
        <v>1</v>
      </c>
      <c r="AB34" s="20">
        <f t="shared" si="23"/>
        <v>1</v>
      </c>
      <c r="AC34" s="22">
        <f t="shared" si="24"/>
        <v>1</v>
      </c>
      <c r="AD34" s="19">
        <f t="shared" si="24"/>
        <v>1</v>
      </c>
      <c r="AE34" s="58">
        <v>0.1827</v>
      </c>
      <c r="AF34" s="59">
        <f t="shared" si="25"/>
        <v>5.5413159999999893E-4</v>
      </c>
      <c r="AG34" s="78">
        <v>59</v>
      </c>
      <c r="AH34" s="65">
        <f t="shared" si="26"/>
        <v>29.160000000000061</v>
      </c>
    </row>
    <row r="35" spans="1:34" x14ac:dyDescent="0.25">
      <c r="A35" s="3"/>
      <c r="B35">
        <v>8</v>
      </c>
      <c r="C35" s="78">
        <v>126</v>
      </c>
      <c r="D35" s="79">
        <v>126</v>
      </c>
      <c r="E35" s="79">
        <v>14</v>
      </c>
      <c r="F35" s="79">
        <v>14</v>
      </c>
      <c r="G35" s="79">
        <v>7</v>
      </c>
      <c r="H35" s="79">
        <v>7</v>
      </c>
      <c r="I35" s="79">
        <v>7</v>
      </c>
      <c r="J35" s="79">
        <v>7</v>
      </c>
      <c r="K35" s="79">
        <v>6</v>
      </c>
      <c r="L35" s="79">
        <v>6</v>
      </c>
      <c r="M35" s="79">
        <v>6</v>
      </c>
      <c r="N35" s="79">
        <v>6</v>
      </c>
      <c r="O35" s="79">
        <v>0</v>
      </c>
      <c r="P35" s="79">
        <v>0</v>
      </c>
      <c r="Q35" s="19">
        <f t="shared" si="18"/>
        <v>1</v>
      </c>
      <c r="R35" s="19">
        <f t="shared" si="19"/>
        <v>1</v>
      </c>
      <c r="S35" s="78">
        <v>2</v>
      </c>
      <c r="T35" s="79">
        <v>2</v>
      </c>
      <c r="U35" s="19">
        <f t="shared" si="20"/>
        <v>1</v>
      </c>
      <c r="V35" s="19">
        <f t="shared" si="21"/>
        <v>1</v>
      </c>
      <c r="W35" s="78">
        <v>17</v>
      </c>
      <c r="X35" s="79">
        <v>17</v>
      </c>
      <c r="Y35" s="79">
        <v>18</v>
      </c>
      <c r="Z35" s="79">
        <v>18</v>
      </c>
      <c r="AA35" s="20">
        <f t="shared" si="22"/>
        <v>1</v>
      </c>
      <c r="AB35" s="20">
        <f t="shared" si="23"/>
        <v>1</v>
      </c>
      <c r="AC35" s="22">
        <f t="shared" si="24"/>
        <v>1</v>
      </c>
      <c r="AD35" s="19">
        <f t="shared" si="24"/>
        <v>1</v>
      </c>
      <c r="AE35" s="58">
        <v>0.15620000000000001</v>
      </c>
      <c r="AF35" s="59">
        <f t="shared" si="25"/>
        <v>8.7616000000001077E-6</v>
      </c>
      <c r="AG35" s="78">
        <v>64</v>
      </c>
      <c r="AH35" s="65">
        <f t="shared" si="26"/>
        <v>0.16000000000000456</v>
      </c>
    </row>
    <row r="36" spans="1:34" x14ac:dyDescent="0.25">
      <c r="A36" s="3"/>
      <c r="B36">
        <v>9</v>
      </c>
      <c r="C36" s="78">
        <v>126</v>
      </c>
      <c r="D36" s="79">
        <v>126</v>
      </c>
      <c r="E36" s="79">
        <v>14</v>
      </c>
      <c r="F36" s="79">
        <v>14</v>
      </c>
      <c r="G36" s="79">
        <v>7</v>
      </c>
      <c r="H36" s="79">
        <v>7</v>
      </c>
      <c r="I36" s="79">
        <v>7</v>
      </c>
      <c r="J36" s="79">
        <v>7</v>
      </c>
      <c r="K36" s="79">
        <v>6</v>
      </c>
      <c r="L36" s="79">
        <v>6</v>
      </c>
      <c r="M36" s="79">
        <v>6</v>
      </c>
      <c r="N36" s="79">
        <v>6</v>
      </c>
      <c r="O36" s="79">
        <v>0</v>
      </c>
      <c r="P36" s="79">
        <v>0</v>
      </c>
      <c r="Q36" s="19">
        <f t="shared" si="18"/>
        <v>1</v>
      </c>
      <c r="R36" s="19">
        <f t="shared" si="19"/>
        <v>1</v>
      </c>
      <c r="S36" s="78">
        <v>2</v>
      </c>
      <c r="T36" s="79">
        <v>2</v>
      </c>
      <c r="U36" s="19">
        <f t="shared" si="20"/>
        <v>1</v>
      </c>
      <c r="V36" s="19">
        <f t="shared" si="21"/>
        <v>1</v>
      </c>
      <c r="W36" s="78">
        <v>17</v>
      </c>
      <c r="X36" s="79">
        <v>17</v>
      </c>
      <c r="Y36" s="79">
        <v>18</v>
      </c>
      <c r="Z36" s="79">
        <v>18</v>
      </c>
      <c r="AA36" s="20">
        <f t="shared" si="22"/>
        <v>1</v>
      </c>
      <c r="AB36" s="20">
        <f t="shared" si="23"/>
        <v>1</v>
      </c>
      <c r="AC36" s="22">
        <f t="shared" si="24"/>
        <v>1</v>
      </c>
      <c r="AD36" s="19">
        <f t="shared" si="24"/>
        <v>1</v>
      </c>
      <c r="AE36" s="58">
        <v>0.1673</v>
      </c>
      <c r="AF36" s="59">
        <f t="shared" si="25"/>
        <v>6.625959999999968E-5</v>
      </c>
      <c r="AG36" s="78">
        <v>67</v>
      </c>
      <c r="AH36" s="65">
        <f t="shared" si="26"/>
        <v>6.7599999999999705</v>
      </c>
    </row>
    <row r="37" spans="1:34" x14ac:dyDescent="0.25">
      <c r="A37" s="6"/>
      <c r="B37" s="8">
        <v>10</v>
      </c>
      <c r="C37" s="80">
        <v>126</v>
      </c>
      <c r="D37" s="81">
        <v>126</v>
      </c>
      <c r="E37" s="81">
        <v>14</v>
      </c>
      <c r="F37" s="81">
        <v>14</v>
      </c>
      <c r="G37" s="81">
        <v>7</v>
      </c>
      <c r="H37" s="81">
        <v>7</v>
      </c>
      <c r="I37" s="81">
        <v>7</v>
      </c>
      <c r="J37" s="81">
        <v>7</v>
      </c>
      <c r="K37" s="81">
        <v>6</v>
      </c>
      <c r="L37" s="81">
        <v>6</v>
      </c>
      <c r="M37" s="81">
        <v>6</v>
      </c>
      <c r="N37" s="81">
        <v>6</v>
      </c>
      <c r="O37" s="81">
        <v>0</v>
      </c>
      <c r="P37" s="81">
        <v>0</v>
      </c>
      <c r="Q37" s="24">
        <f t="shared" si="18"/>
        <v>1</v>
      </c>
      <c r="R37" s="24">
        <f t="shared" si="19"/>
        <v>1</v>
      </c>
      <c r="S37" s="80">
        <v>2</v>
      </c>
      <c r="T37" s="81">
        <v>2</v>
      </c>
      <c r="U37" s="24">
        <f t="shared" si="20"/>
        <v>1</v>
      </c>
      <c r="V37" s="24">
        <f t="shared" si="21"/>
        <v>1</v>
      </c>
      <c r="W37" s="80">
        <v>17</v>
      </c>
      <c r="X37" s="81">
        <v>17</v>
      </c>
      <c r="Y37" s="81">
        <v>18</v>
      </c>
      <c r="Z37" s="81">
        <v>18</v>
      </c>
      <c r="AA37" s="24">
        <f t="shared" si="22"/>
        <v>1</v>
      </c>
      <c r="AB37" s="24">
        <f t="shared" si="23"/>
        <v>1</v>
      </c>
      <c r="AC37" s="23">
        <f t="shared" si="24"/>
        <v>1</v>
      </c>
      <c r="AD37" s="24">
        <f t="shared" si="24"/>
        <v>1</v>
      </c>
      <c r="AE37" s="60">
        <v>0.14230000000000001</v>
      </c>
      <c r="AF37" s="46">
        <f t="shared" si="25"/>
        <v>2.8425960000000045E-4</v>
      </c>
      <c r="AG37" s="80">
        <v>55</v>
      </c>
      <c r="AH37" s="50">
        <f t="shared" si="26"/>
        <v>88.360000000000113</v>
      </c>
    </row>
    <row r="38" spans="1:34" ht="15.75" thickBot="1" x14ac:dyDescent="0.3">
      <c r="A38" s="35"/>
      <c r="B38" s="30"/>
      <c r="C38" s="32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3"/>
      <c r="R38" s="33"/>
      <c r="S38" s="32"/>
      <c r="T38" s="30"/>
      <c r="U38" s="33"/>
      <c r="V38" s="33"/>
      <c r="W38" s="32"/>
      <c r="X38" s="30"/>
      <c r="Y38" s="30"/>
      <c r="Z38" s="30"/>
      <c r="AA38" s="33"/>
      <c r="AB38" s="33"/>
      <c r="AC38" s="36">
        <f>AVERAGE(AC28:AC37)</f>
        <v>1</v>
      </c>
      <c r="AD38" s="37">
        <f>AVERAGE(AD28:AD37)</f>
        <v>1</v>
      </c>
      <c r="AE38" s="61">
        <f>AVERAGE(AE28:AE37)</f>
        <v>0.15916000000000002</v>
      </c>
      <c r="AF38" s="41">
        <f>SQRT(AVERAGE(AF28:AF37))</f>
        <v>2.0162995809154951E-2</v>
      </c>
      <c r="AG38" s="67">
        <f>AVERAGE(AG28:AG37)</f>
        <v>64.400000000000006</v>
      </c>
      <c r="AH38" s="42">
        <f>SQRT(AVERAGE(AH28:AH37))</f>
        <v>7.2691127381545</v>
      </c>
    </row>
    <row r="42" spans="1:34" x14ac:dyDescent="0.25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38"/>
      <c r="K42" s="38"/>
      <c r="L42" s="38"/>
    </row>
    <row r="43" spans="1:34" x14ac:dyDescent="0.25">
      <c r="A43" s="2" t="s">
        <v>15</v>
      </c>
      <c r="B43" s="3" t="s">
        <v>0</v>
      </c>
      <c r="C43" s="14" t="s">
        <v>29</v>
      </c>
      <c r="D43" s="4"/>
      <c r="E43" s="4"/>
      <c r="F43" s="52" t="s">
        <v>24</v>
      </c>
      <c r="G43" s="3"/>
      <c r="H43" s="52" t="s">
        <v>25</v>
      </c>
      <c r="I43" s="3"/>
    </row>
    <row r="44" spans="1:34" x14ac:dyDescent="0.25">
      <c r="A44" s="2"/>
      <c r="B44" s="3"/>
      <c r="C44" s="52" t="s">
        <v>30</v>
      </c>
      <c r="D44" s="3" t="s">
        <v>31</v>
      </c>
      <c r="E44" s="3" t="s">
        <v>32</v>
      </c>
      <c r="F44" s="52"/>
      <c r="G44" s="3"/>
      <c r="H44" s="52"/>
      <c r="I44" s="3"/>
    </row>
    <row r="45" spans="1:34" x14ac:dyDescent="0.25">
      <c r="A45" s="6"/>
      <c r="B45" s="6"/>
      <c r="C45" s="53"/>
      <c r="D45" s="6"/>
      <c r="E45" s="6"/>
      <c r="F45" s="56" t="s">
        <v>26</v>
      </c>
      <c r="G45" s="43" t="s">
        <v>27</v>
      </c>
      <c r="H45" s="62" t="s">
        <v>26</v>
      </c>
      <c r="I45" s="47" t="s">
        <v>27</v>
      </c>
    </row>
    <row r="46" spans="1:34" ht="15.75" thickBot="1" x14ac:dyDescent="0.3">
      <c r="A46" s="30"/>
      <c r="B46" s="31"/>
      <c r="C46" s="55" t="s">
        <v>33</v>
      </c>
      <c r="D46" s="51">
        <v>357</v>
      </c>
      <c r="E46" s="51"/>
      <c r="F46" s="32"/>
      <c r="G46" s="30"/>
      <c r="H46" s="32"/>
      <c r="I46" s="30"/>
    </row>
    <row r="47" spans="1:34" x14ac:dyDescent="0.25">
      <c r="A47" s="3" t="s">
        <v>16</v>
      </c>
      <c r="B47">
        <v>1</v>
      </c>
      <c r="C47" s="78"/>
      <c r="D47" s="79"/>
      <c r="E47" s="82"/>
      <c r="F47" s="58">
        <v>2.46</v>
      </c>
      <c r="G47" s="59">
        <f>(F47-$F$57)^2</f>
        <v>1.1235999999999973E-2</v>
      </c>
      <c r="H47" s="78">
        <v>1798</v>
      </c>
      <c r="I47" s="65">
        <f>(H47-$H$57)^2</f>
        <v>117374.75999999994</v>
      </c>
    </row>
    <row r="48" spans="1:34" x14ac:dyDescent="0.25">
      <c r="A48" s="3"/>
      <c r="B48">
        <v>2</v>
      </c>
      <c r="C48" s="78"/>
      <c r="D48" s="79"/>
      <c r="E48" s="82"/>
      <c r="F48" s="58">
        <v>2.54</v>
      </c>
      <c r="G48" s="59">
        <f t="shared" ref="G48:G51" si="27">(F48-$F$57)^2</f>
        <v>3.4595999999999981E-2</v>
      </c>
      <c r="H48" s="78">
        <v>1656</v>
      </c>
      <c r="I48" s="65">
        <f t="shared" ref="I48:I56" si="28">(H48-$H$57)^2</f>
        <v>40240.359999999964</v>
      </c>
    </row>
    <row r="49" spans="1:9" x14ac:dyDescent="0.25">
      <c r="A49" s="3"/>
      <c r="B49">
        <v>3</v>
      </c>
      <c r="C49" s="78"/>
      <c r="D49" s="79"/>
      <c r="E49" s="82"/>
      <c r="F49" s="58">
        <v>2.86</v>
      </c>
      <c r="G49" s="59">
        <f t="shared" si="27"/>
        <v>0.25603599999999976</v>
      </c>
      <c r="H49" s="78">
        <v>1610</v>
      </c>
      <c r="I49" s="65">
        <f t="shared" si="28"/>
        <v>23901.159999999971</v>
      </c>
    </row>
    <row r="50" spans="1:9" x14ac:dyDescent="0.25">
      <c r="A50" s="3"/>
      <c r="B50">
        <v>4</v>
      </c>
      <c r="C50" s="78"/>
      <c r="D50" s="82"/>
      <c r="E50" s="82"/>
      <c r="F50" s="58">
        <v>2.61</v>
      </c>
      <c r="G50" s="59">
        <f t="shared" si="27"/>
        <v>6.5535999999999886E-2</v>
      </c>
      <c r="H50" s="78">
        <v>1374</v>
      </c>
      <c r="I50" s="65">
        <f t="shared" si="28"/>
        <v>6625.9600000000146</v>
      </c>
    </row>
    <row r="51" spans="1:9" x14ac:dyDescent="0.25">
      <c r="A51" s="3"/>
      <c r="B51">
        <v>5</v>
      </c>
      <c r="C51" s="78"/>
      <c r="D51" s="82"/>
      <c r="E51" s="82"/>
      <c r="F51" s="58">
        <v>1.64</v>
      </c>
      <c r="G51" s="59">
        <f t="shared" si="27"/>
        <v>0.50979600000000025</v>
      </c>
      <c r="H51" s="78">
        <v>976</v>
      </c>
      <c r="I51" s="65">
        <f t="shared" si="28"/>
        <v>229824.36000000007</v>
      </c>
    </row>
    <row r="52" spans="1:9" x14ac:dyDescent="0.25">
      <c r="A52" s="3"/>
      <c r="B52">
        <v>6</v>
      </c>
      <c r="C52" s="78"/>
      <c r="D52" s="82"/>
      <c r="E52" s="82"/>
      <c r="F52" s="58">
        <v>2.0699999999999998</v>
      </c>
      <c r="G52" s="59">
        <f>(F52-$F$57)^2</f>
        <v>8.0656000000000144E-2</v>
      </c>
      <c r="H52" s="78">
        <v>1652</v>
      </c>
      <c r="I52" s="65">
        <f t="shared" si="28"/>
        <v>38651.559999999961</v>
      </c>
    </row>
    <row r="53" spans="1:9" x14ac:dyDescent="0.25">
      <c r="A53" s="3"/>
      <c r="B53">
        <v>7</v>
      </c>
      <c r="C53" s="78"/>
      <c r="D53" s="82"/>
      <c r="E53" s="82"/>
      <c r="F53" s="58">
        <v>2.38</v>
      </c>
      <c r="G53" s="59">
        <f>(F53-$F$57)^2</f>
        <v>6.7599999999998965E-4</v>
      </c>
      <c r="H53" s="78">
        <v>1176</v>
      </c>
      <c r="I53" s="65">
        <f t="shared" si="28"/>
        <v>78064.360000000044</v>
      </c>
    </row>
    <row r="54" spans="1:9" x14ac:dyDescent="0.25">
      <c r="A54" s="3"/>
      <c r="B54">
        <v>8</v>
      </c>
      <c r="C54" s="78"/>
      <c r="D54" s="82"/>
      <c r="E54" s="82"/>
      <c r="F54" s="58">
        <v>2.0699999999999998</v>
      </c>
      <c r="G54" s="59">
        <f>(F54-$F$57)^2</f>
        <v>8.0656000000000144E-2</v>
      </c>
      <c r="H54" s="78">
        <v>1589</v>
      </c>
      <c r="I54" s="65">
        <f t="shared" si="28"/>
        <v>17848.959999999977</v>
      </c>
    </row>
    <row r="55" spans="1:9" x14ac:dyDescent="0.25">
      <c r="A55" s="3"/>
      <c r="B55">
        <v>9</v>
      </c>
      <c r="C55" s="78"/>
      <c r="D55" s="82"/>
      <c r="E55" s="82"/>
      <c r="F55" s="58">
        <v>2.56</v>
      </c>
      <c r="G55" s="59">
        <f>(F55-$F$57)^2</f>
        <v>4.2435999999999981E-2</v>
      </c>
      <c r="H55" s="78">
        <v>1268</v>
      </c>
      <c r="I55" s="65">
        <f t="shared" si="28"/>
        <v>35118.760000000031</v>
      </c>
    </row>
    <row r="56" spans="1:9" x14ac:dyDescent="0.25">
      <c r="A56" s="6"/>
      <c r="B56" s="8">
        <v>10</v>
      </c>
      <c r="C56" s="80"/>
      <c r="D56" s="81"/>
      <c r="E56" s="81"/>
      <c r="F56" s="60">
        <v>2.35</v>
      </c>
      <c r="G56" s="59">
        <f>(F56-$F$57)^2</f>
        <v>1.600000000000003E-5</v>
      </c>
      <c r="H56" s="80">
        <v>1455</v>
      </c>
      <c r="I56" s="65">
        <f t="shared" si="28"/>
        <v>0.16000000000007275</v>
      </c>
    </row>
    <row r="57" spans="1:9" x14ac:dyDescent="0.25">
      <c r="A57" s="9" t="s">
        <v>35</v>
      </c>
      <c r="B57" s="69"/>
      <c r="C57" s="72" t="e">
        <f>AVERAGE(C47:C56)</f>
        <v>#DIV/0!</v>
      </c>
      <c r="D57" s="73" t="e">
        <f>AVERAGE(D47:D56)</f>
        <v>#DIV/0!</v>
      </c>
      <c r="E57" s="73" t="e">
        <f>AVERAGE(E47:E56)</f>
        <v>#DIV/0!</v>
      </c>
      <c r="F57" s="72">
        <f>AVERAGE(F47:F56)</f>
        <v>2.3540000000000001</v>
      </c>
      <c r="G57" s="73">
        <f>SQRT(AVERAGE(G47:G56))</f>
        <v>0.32888295790448002</v>
      </c>
      <c r="H57" s="74">
        <f>AVERAGE(H47:H56)</f>
        <v>1455.4</v>
      </c>
      <c r="I57" s="75">
        <f>SQRT(AVERAGE(I47:I56))</f>
        <v>242.41501603654837</v>
      </c>
    </row>
    <row r="58" spans="1:9" ht="15.75" thickBot="1" x14ac:dyDescent="0.3">
      <c r="A58" s="70" t="s">
        <v>34</v>
      </c>
      <c r="B58" s="71"/>
      <c r="C58" s="61" t="e">
        <f>C57/$D$46</f>
        <v>#DIV/0!</v>
      </c>
      <c r="D58" s="41" t="e">
        <f>D57/$D$46</f>
        <v>#DIV/0!</v>
      </c>
      <c r="E58" s="41" t="e">
        <f>E57/$D$46</f>
        <v>#DIV/0!</v>
      </c>
      <c r="F58" s="54"/>
      <c r="G58" s="39"/>
      <c r="H58" s="54"/>
      <c r="I58" s="39"/>
    </row>
    <row r="59" spans="1:9" x14ac:dyDescent="0.25">
      <c r="A59" s="3" t="s">
        <v>17</v>
      </c>
      <c r="B59">
        <v>1</v>
      </c>
      <c r="C59" s="78"/>
      <c r="D59" s="79"/>
      <c r="E59" s="82"/>
      <c r="F59" s="58">
        <v>1.99</v>
      </c>
      <c r="G59" s="59">
        <f>(F59-$F$69)^2</f>
        <v>0.38378025000000021</v>
      </c>
      <c r="H59" s="78">
        <v>1282</v>
      </c>
      <c r="I59" s="65">
        <f>(H59-$H$69)^2</f>
        <v>38966.760000000038</v>
      </c>
    </row>
    <row r="60" spans="1:9" x14ac:dyDescent="0.25">
      <c r="A60" s="3"/>
      <c r="B60">
        <v>2</v>
      </c>
      <c r="C60" s="78"/>
      <c r="D60" s="79"/>
      <c r="E60" s="82"/>
      <c r="F60" s="58">
        <v>3.13</v>
      </c>
      <c r="G60" s="59">
        <f t="shared" ref="G60:G68" si="29">(F60-$F$69)^2</f>
        <v>0.27092024999999975</v>
      </c>
      <c r="H60" s="78">
        <v>1751</v>
      </c>
      <c r="I60" s="65">
        <f t="shared" ref="I60:I68" si="30">(H60-$H$69)^2</f>
        <v>73766.559999999954</v>
      </c>
    </row>
    <row r="61" spans="1:9" x14ac:dyDescent="0.25">
      <c r="A61" s="3"/>
      <c r="B61">
        <v>3</v>
      </c>
      <c r="C61" s="78"/>
      <c r="D61" s="79"/>
      <c r="E61" s="82"/>
      <c r="F61" s="58">
        <v>2.06</v>
      </c>
      <c r="G61" s="59">
        <f t="shared" si="29"/>
        <v>0.30195025000000009</v>
      </c>
      <c r="H61" s="78">
        <v>938</v>
      </c>
      <c r="I61" s="65">
        <f t="shared" si="30"/>
        <v>293113.96000000008</v>
      </c>
    </row>
    <row r="62" spans="1:9" x14ac:dyDescent="0.25">
      <c r="A62" s="3"/>
      <c r="B62">
        <v>4</v>
      </c>
      <c r="C62" s="78"/>
      <c r="D62" s="82"/>
      <c r="E62" s="82"/>
      <c r="F62" s="58">
        <v>3.23</v>
      </c>
      <c r="G62" s="59">
        <f t="shared" si="29"/>
        <v>0.38502024999999979</v>
      </c>
      <c r="H62" s="78">
        <v>1648</v>
      </c>
      <c r="I62" s="65">
        <f t="shared" si="30"/>
        <v>28425.95999999997</v>
      </c>
    </row>
    <row r="63" spans="1:9" x14ac:dyDescent="0.25">
      <c r="A63" s="3"/>
      <c r="B63">
        <v>5</v>
      </c>
      <c r="C63" s="78"/>
      <c r="D63" s="82"/>
      <c r="E63" s="82"/>
      <c r="F63" s="58">
        <v>2.09</v>
      </c>
      <c r="G63" s="59">
        <f t="shared" si="29"/>
        <v>0.26988025000000032</v>
      </c>
      <c r="H63" s="78">
        <v>1594</v>
      </c>
      <c r="I63" s="65">
        <f t="shared" si="30"/>
        <v>13133.15999999998</v>
      </c>
    </row>
    <row r="64" spans="1:9" x14ac:dyDescent="0.25">
      <c r="A64" s="3"/>
      <c r="B64">
        <v>6</v>
      </c>
      <c r="C64" s="78"/>
      <c r="D64" s="82"/>
      <c r="E64" s="82"/>
      <c r="F64" s="58">
        <v>2.73</v>
      </c>
      <c r="G64" s="59">
        <f t="shared" si="29"/>
        <v>1.4520249999999959E-2</v>
      </c>
      <c r="H64" s="78">
        <v>1821</v>
      </c>
      <c r="I64" s="65">
        <f t="shared" si="30"/>
        <v>116690.55999999994</v>
      </c>
    </row>
    <row r="65" spans="1:9" x14ac:dyDescent="0.25">
      <c r="A65" s="3"/>
      <c r="B65">
        <v>7</v>
      </c>
      <c r="C65" s="78"/>
      <c r="D65" s="82"/>
      <c r="E65" s="82"/>
      <c r="F65" s="58">
        <v>2.23</v>
      </c>
      <c r="G65" s="59">
        <f t="shared" si="29"/>
        <v>0.14402025000000013</v>
      </c>
      <c r="H65" s="78">
        <v>1423</v>
      </c>
      <c r="I65" s="65">
        <f t="shared" si="30"/>
        <v>3180.96000000001</v>
      </c>
    </row>
    <row r="66" spans="1:9" x14ac:dyDescent="0.25">
      <c r="A66" s="3"/>
      <c r="B66">
        <v>8</v>
      </c>
      <c r="C66" s="78"/>
      <c r="D66" s="82"/>
      <c r="E66" s="82"/>
      <c r="F66" s="58">
        <v>3.12</v>
      </c>
      <c r="G66" s="59">
        <f t="shared" si="29"/>
        <v>0.26061024999999993</v>
      </c>
      <c r="H66" s="78">
        <v>1598</v>
      </c>
      <c r="I66" s="65">
        <f t="shared" si="30"/>
        <v>14065.959999999979</v>
      </c>
    </row>
    <row r="67" spans="1:9" x14ac:dyDescent="0.25">
      <c r="A67" s="3"/>
      <c r="B67">
        <v>9</v>
      </c>
      <c r="C67" s="78"/>
      <c r="D67" s="82"/>
      <c r="E67" s="82"/>
      <c r="F67" s="58">
        <v>2.87</v>
      </c>
      <c r="G67" s="59">
        <f t="shared" si="29"/>
        <v>6.7860249999999969E-2</v>
      </c>
      <c r="H67" s="78">
        <v>1296</v>
      </c>
      <c r="I67" s="65">
        <f t="shared" si="30"/>
        <v>33635.560000000034</v>
      </c>
    </row>
    <row r="68" spans="1:9" x14ac:dyDescent="0.25">
      <c r="A68" s="6"/>
      <c r="B68" s="8">
        <v>10</v>
      </c>
      <c r="C68" s="80"/>
      <c r="D68" s="81"/>
      <c r="E68" s="81"/>
      <c r="F68" s="60">
        <v>2.645</v>
      </c>
      <c r="G68" s="59">
        <f t="shared" si="29"/>
        <v>1.2602499999999903E-3</v>
      </c>
      <c r="H68" s="80">
        <v>1443</v>
      </c>
      <c r="I68" s="65">
        <f t="shared" si="30"/>
        <v>1324.9600000000066</v>
      </c>
    </row>
    <row r="69" spans="1:9" x14ac:dyDescent="0.25">
      <c r="A69" s="9" t="s">
        <v>35</v>
      </c>
      <c r="B69" s="69"/>
      <c r="C69" s="72" t="e">
        <f>AVERAGE(C59:C68)</f>
        <v>#DIV/0!</v>
      </c>
      <c r="D69" s="73" t="e">
        <f>AVERAGE(D59:D68)</f>
        <v>#DIV/0!</v>
      </c>
      <c r="E69" s="73" t="e">
        <f>AVERAGE(E59:E68)</f>
        <v>#DIV/0!</v>
      </c>
      <c r="F69" s="72">
        <f>AVERAGE(F59:F68)</f>
        <v>2.6095000000000002</v>
      </c>
      <c r="G69" s="73">
        <f>SQRT(AVERAGE(G59:G68))</f>
        <v>0.45823820224856854</v>
      </c>
      <c r="H69" s="74">
        <f>AVERAGE(H59:H68)</f>
        <v>1479.4</v>
      </c>
      <c r="I69" s="75">
        <f>SQRT(AVERAGE(I59:I68))</f>
        <v>248.25478847345519</v>
      </c>
    </row>
    <row r="70" spans="1:9" ht="15.75" thickBot="1" x14ac:dyDescent="0.3">
      <c r="A70" s="70" t="s">
        <v>34</v>
      </c>
      <c r="B70" s="71"/>
      <c r="C70" s="61" t="e">
        <f>C69/$D$46</f>
        <v>#DIV/0!</v>
      </c>
      <c r="D70" s="41" t="e">
        <f>D69/$D$46</f>
        <v>#DIV/0!</v>
      </c>
      <c r="E70" s="41" t="e">
        <f>E69/$D$46</f>
        <v>#DIV/0!</v>
      </c>
      <c r="F70" s="54"/>
      <c r="G70" s="39"/>
      <c r="H70" s="54"/>
      <c r="I70" s="39"/>
    </row>
    <row r="71" spans="1:9" x14ac:dyDescent="0.25">
      <c r="A71" s="3" t="s">
        <v>18</v>
      </c>
      <c r="B71">
        <v>1</v>
      </c>
      <c r="C71" s="78">
        <v>0</v>
      </c>
      <c r="D71" s="79">
        <v>0</v>
      </c>
      <c r="E71" s="82">
        <v>0</v>
      </c>
      <c r="F71" s="58">
        <v>0.67120000000000002</v>
      </c>
      <c r="G71" s="59">
        <f>(F71-$F$81)^2</f>
        <v>3.6505763999999902E-3</v>
      </c>
      <c r="H71" s="78">
        <v>273</v>
      </c>
      <c r="I71" s="65">
        <f>(H71-$H$81)^2</f>
        <v>445.21000000000095</v>
      </c>
    </row>
    <row r="72" spans="1:9" x14ac:dyDescent="0.25">
      <c r="A72" s="3"/>
      <c r="B72">
        <v>2</v>
      </c>
      <c r="C72" s="78">
        <v>0</v>
      </c>
      <c r="D72" s="79">
        <v>0</v>
      </c>
      <c r="E72" s="82">
        <v>0</v>
      </c>
      <c r="F72" s="58">
        <v>0.67430000000000001</v>
      </c>
      <c r="G72" s="59">
        <f t="shared" ref="G72:G80" si="31">(F72-$F$81)^2</f>
        <v>3.2855823999999915E-3</v>
      </c>
      <c r="H72" s="78">
        <v>274</v>
      </c>
      <c r="I72" s="65">
        <f t="shared" ref="I72:I80" si="32">(H72-$H$81)^2</f>
        <v>404.0100000000009</v>
      </c>
    </row>
    <row r="73" spans="1:9" x14ac:dyDescent="0.25">
      <c r="A73" s="3"/>
      <c r="B73">
        <v>3</v>
      </c>
      <c r="C73" s="78">
        <v>0</v>
      </c>
      <c r="D73" s="79">
        <v>0</v>
      </c>
      <c r="E73" s="82">
        <v>9</v>
      </c>
      <c r="F73" s="58">
        <v>0.63859999999999995</v>
      </c>
      <c r="G73" s="59">
        <f t="shared" si="31"/>
        <v>8.6527203999999993E-3</v>
      </c>
      <c r="H73" s="78">
        <v>244</v>
      </c>
      <c r="I73" s="65">
        <f t="shared" si="32"/>
        <v>2510.0100000000025</v>
      </c>
    </row>
    <row r="74" spans="1:9" x14ac:dyDescent="0.25">
      <c r="A74" s="3"/>
      <c r="B74">
        <v>4</v>
      </c>
      <c r="C74" s="78">
        <v>0</v>
      </c>
      <c r="D74" s="82">
        <v>0</v>
      </c>
      <c r="E74" s="82">
        <v>0</v>
      </c>
      <c r="F74" s="58">
        <v>0.73209999999999997</v>
      </c>
      <c r="G74" s="59">
        <f t="shared" si="31"/>
        <v>2.3040000000003452E-7</v>
      </c>
      <c r="H74" s="78">
        <v>283</v>
      </c>
      <c r="I74" s="65">
        <f t="shared" si="32"/>
        <v>123.21000000000051</v>
      </c>
    </row>
    <row r="75" spans="1:9" x14ac:dyDescent="0.25">
      <c r="A75" s="3"/>
      <c r="B75">
        <v>5</v>
      </c>
      <c r="C75" s="78">
        <v>0</v>
      </c>
      <c r="D75" s="82">
        <v>0</v>
      </c>
      <c r="E75" s="82">
        <v>0</v>
      </c>
      <c r="F75" s="58">
        <v>0.93</v>
      </c>
      <c r="G75" s="59">
        <f t="shared" si="31"/>
        <v>3.9354624400000045E-2</v>
      </c>
      <c r="H75" s="78">
        <v>379</v>
      </c>
      <c r="I75" s="65">
        <f t="shared" si="32"/>
        <v>7208.0099999999966</v>
      </c>
    </row>
    <row r="76" spans="1:9" x14ac:dyDescent="0.25">
      <c r="A76" s="3"/>
      <c r="B76">
        <v>6</v>
      </c>
      <c r="C76" s="78">
        <v>0</v>
      </c>
      <c r="D76" s="82">
        <v>0</v>
      </c>
      <c r="E76" s="82">
        <v>0</v>
      </c>
      <c r="F76" s="58">
        <v>0.72</v>
      </c>
      <c r="G76" s="59">
        <f t="shared" si="31"/>
        <v>1.3502439999999916E-4</v>
      </c>
      <c r="H76" s="78">
        <v>267</v>
      </c>
      <c r="I76" s="65">
        <f t="shared" si="32"/>
        <v>734.41000000000122</v>
      </c>
    </row>
    <row r="77" spans="1:9" x14ac:dyDescent="0.25">
      <c r="A77" s="3"/>
      <c r="B77">
        <v>7</v>
      </c>
      <c r="C77" s="78">
        <v>0</v>
      </c>
      <c r="D77" s="82">
        <v>0</v>
      </c>
      <c r="E77" s="82">
        <v>9</v>
      </c>
      <c r="F77" s="58">
        <v>0.75319999999999998</v>
      </c>
      <c r="G77" s="59">
        <f t="shared" si="31"/>
        <v>4.6569640000000191E-4</v>
      </c>
      <c r="H77" s="78">
        <v>310</v>
      </c>
      <c r="I77" s="65">
        <f t="shared" si="32"/>
        <v>252.80999999999926</v>
      </c>
    </row>
    <row r="78" spans="1:9" x14ac:dyDescent="0.25">
      <c r="A78" s="3"/>
      <c r="B78">
        <v>8</v>
      </c>
      <c r="C78" s="78">
        <v>0</v>
      </c>
      <c r="D78" s="82">
        <v>0</v>
      </c>
      <c r="E78" s="82">
        <v>0</v>
      </c>
      <c r="F78" s="58">
        <v>0.65229999999999999</v>
      </c>
      <c r="G78" s="59">
        <f t="shared" si="31"/>
        <v>6.2916623999999914E-3</v>
      </c>
      <c r="H78" s="78">
        <v>296</v>
      </c>
      <c r="I78" s="65">
        <f t="shared" si="32"/>
        <v>3.6099999999999137</v>
      </c>
    </row>
    <row r="79" spans="1:9" x14ac:dyDescent="0.25">
      <c r="A79" s="3"/>
      <c r="B79">
        <v>9</v>
      </c>
      <c r="C79" s="78">
        <v>0</v>
      </c>
      <c r="D79" s="82">
        <v>0</v>
      </c>
      <c r="E79" s="82">
        <v>0</v>
      </c>
      <c r="F79" s="58">
        <v>0.71850000000000003</v>
      </c>
      <c r="G79" s="59">
        <f t="shared" si="31"/>
        <v>1.7213439999999762E-4</v>
      </c>
      <c r="H79" s="78">
        <v>324</v>
      </c>
      <c r="I79" s="65">
        <f t="shared" si="32"/>
        <v>894.00999999999863</v>
      </c>
    </row>
    <row r="80" spans="1:9" x14ac:dyDescent="0.25">
      <c r="A80" s="6"/>
      <c r="B80" s="8">
        <v>10</v>
      </c>
      <c r="C80" s="78">
        <v>0</v>
      </c>
      <c r="D80" s="82">
        <v>0</v>
      </c>
      <c r="E80" s="82">
        <v>0</v>
      </c>
      <c r="F80" s="60">
        <v>0.82599999999999996</v>
      </c>
      <c r="G80" s="59">
        <f t="shared" si="31"/>
        <v>8.9075844000000032E-3</v>
      </c>
      <c r="H80" s="80">
        <v>291</v>
      </c>
      <c r="I80" s="65">
        <f t="shared" si="32"/>
        <v>9.6100000000001415</v>
      </c>
    </row>
    <row r="81" spans="1:9" x14ac:dyDescent="0.25">
      <c r="A81" s="9" t="s">
        <v>35</v>
      </c>
      <c r="B81" s="69"/>
      <c r="C81" s="72">
        <f>AVERAGE(C71:C80)</f>
        <v>0</v>
      </c>
      <c r="D81" s="73">
        <f>AVERAGE(D71:D80)</f>
        <v>0</v>
      </c>
      <c r="E81" s="73">
        <f>AVERAGE(E71:E80)</f>
        <v>1.8</v>
      </c>
      <c r="F81" s="72">
        <f>AVERAGE(F71:F80)</f>
        <v>0.73161999999999994</v>
      </c>
      <c r="G81" s="73">
        <f>SQRT(AVERAGE(G71:G80))</f>
        <v>8.4211540776784277E-2</v>
      </c>
      <c r="H81" s="74">
        <f>AVERAGE(H71:H80)</f>
        <v>294.10000000000002</v>
      </c>
      <c r="I81" s="75">
        <f>SQRT(AVERAGE(I71:I80))</f>
        <v>35.475202606891486</v>
      </c>
    </row>
    <row r="82" spans="1:9" ht="15.75" thickBot="1" x14ac:dyDescent="0.3">
      <c r="A82" s="70" t="s">
        <v>34</v>
      </c>
      <c r="B82" s="71"/>
      <c r="C82" s="61">
        <f>C81/$D$46</f>
        <v>0</v>
      </c>
      <c r="D82" s="41">
        <f>D81/$D$46</f>
        <v>0</v>
      </c>
      <c r="E82" s="41">
        <f>E81/$D$46</f>
        <v>5.0420168067226894E-3</v>
      </c>
      <c r="F82" s="54"/>
      <c r="G82" s="39"/>
      <c r="H82" s="54"/>
      <c r="I82" s="39"/>
    </row>
  </sheetData>
  <mergeCells count="45">
    <mergeCell ref="A82:B82"/>
    <mergeCell ref="A58:B58"/>
    <mergeCell ref="A59:A68"/>
    <mergeCell ref="A69:B69"/>
    <mergeCell ref="A70:B70"/>
    <mergeCell ref="A71:A80"/>
    <mergeCell ref="A81:B81"/>
    <mergeCell ref="C44:C45"/>
    <mergeCell ref="D44:D45"/>
    <mergeCell ref="E44:E45"/>
    <mergeCell ref="D46:E46"/>
    <mergeCell ref="A47:A56"/>
    <mergeCell ref="A57:B57"/>
    <mergeCell ref="AB3:AB4"/>
    <mergeCell ref="A6:A15"/>
    <mergeCell ref="A17:A26"/>
    <mergeCell ref="A28:A37"/>
    <mergeCell ref="A42:I42"/>
    <mergeCell ref="A43:A45"/>
    <mergeCell ref="B43:B45"/>
    <mergeCell ref="C43:E43"/>
    <mergeCell ref="F43:G44"/>
    <mergeCell ref="H43:I44"/>
    <mergeCell ref="O3:P3"/>
    <mergeCell ref="Q3:Q4"/>
    <mergeCell ref="R3:R4"/>
    <mergeCell ref="W3:X3"/>
    <mergeCell ref="Y3:Z3"/>
    <mergeCell ref="AA3:AA4"/>
    <mergeCell ref="C3:D3"/>
    <mergeCell ref="E3:F3"/>
    <mergeCell ref="G3:H3"/>
    <mergeCell ref="I3:J3"/>
    <mergeCell ref="K3:L3"/>
    <mergeCell ref="M3:N3"/>
    <mergeCell ref="A1:AH1"/>
    <mergeCell ref="A2:A4"/>
    <mergeCell ref="B2:B4"/>
    <mergeCell ref="C2:R2"/>
    <mergeCell ref="S2:V3"/>
    <mergeCell ref="W2:AB2"/>
    <mergeCell ref="AC2:AC4"/>
    <mergeCell ref="AD2:AD4"/>
    <mergeCell ref="AE2:AF3"/>
    <mergeCell ref="AG2:A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6F2E-D5A3-41C6-87C0-0D853BD5ED9A}">
  <dimension ref="A1:AH41"/>
  <sheetViews>
    <sheetView topLeftCell="A9" workbookViewId="0">
      <selection activeCell="M37" sqref="M37"/>
    </sheetView>
  </sheetViews>
  <sheetFormatPr defaultRowHeight="15" x14ac:dyDescent="0.25"/>
  <cols>
    <col min="3" max="3" width="9.140625" style="10"/>
    <col min="17" max="18" width="9.140625" style="20"/>
    <col min="19" max="19" width="9.140625" style="10"/>
    <col min="21" max="22" width="9.140625" style="20"/>
    <col min="23" max="23" width="9.140625" style="10"/>
    <col min="27" max="28" width="9.140625" style="20"/>
    <col min="29" max="29" width="9.140625" style="19"/>
    <col min="30" max="30" width="9.140625" style="20"/>
    <col min="31" max="31" width="9.140625" style="45"/>
    <col min="32" max="32" width="9.140625" style="40" customWidth="1"/>
    <col min="33" max="34" width="9.140625" style="49"/>
  </cols>
  <sheetData>
    <row r="1" spans="1:12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38"/>
      <c r="K1" s="38"/>
      <c r="L1" s="38"/>
    </row>
    <row r="2" spans="1:12" x14ac:dyDescent="0.25">
      <c r="A2" s="2" t="s">
        <v>15</v>
      </c>
      <c r="B2" s="3" t="s">
        <v>0</v>
      </c>
      <c r="C2" s="14" t="s">
        <v>29</v>
      </c>
      <c r="D2" s="4"/>
      <c r="E2" s="4"/>
      <c r="F2" s="52" t="s">
        <v>24</v>
      </c>
      <c r="G2" s="3"/>
      <c r="H2" s="52" t="s">
        <v>25</v>
      </c>
      <c r="I2" s="3"/>
    </row>
    <row r="3" spans="1:12" x14ac:dyDescent="0.25">
      <c r="A3" s="2"/>
      <c r="B3" s="3"/>
      <c r="C3" s="52" t="s">
        <v>30</v>
      </c>
      <c r="D3" s="3" t="s">
        <v>31</v>
      </c>
      <c r="E3" s="3" t="s">
        <v>32</v>
      </c>
      <c r="F3" s="52"/>
      <c r="G3" s="3"/>
      <c r="H3" s="52"/>
      <c r="I3" s="3"/>
    </row>
    <row r="4" spans="1:12" x14ac:dyDescent="0.25">
      <c r="A4" s="6"/>
      <c r="B4" s="6"/>
      <c r="C4" s="53"/>
      <c r="D4" s="6"/>
      <c r="E4" s="6"/>
      <c r="F4" s="56" t="s">
        <v>26</v>
      </c>
      <c r="G4" s="43" t="s">
        <v>27</v>
      </c>
      <c r="H4" s="62" t="s">
        <v>26</v>
      </c>
      <c r="I4" s="47" t="s">
        <v>27</v>
      </c>
    </row>
    <row r="5" spans="1:12" ht="15.75" thickBot="1" x14ac:dyDescent="0.3">
      <c r="A5" s="30"/>
      <c r="B5" s="31"/>
      <c r="C5" s="55" t="s">
        <v>33</v>
      </c>
      <c r="D5" s="51">
        <v>162</v>
      </c>
      <c r="E5" s="51"/>
      <c r="F5" s="32"/>
      <c r="G5" s="30"/>
      <c r="H5" s="32"/>
      <c r="I5" s="30"/>
    </row>
    <row r="6" spans="1:12" x14ac:dyDescent="0.25">
      <c r="A6" s="3" t="s">
        <v>16</v>
      </c>
      <c r="B6">
        <v>1</v>
      </c>
      <c r="C6" s="78">
        <v>0</v>
      </c>
      <c r="D6" s="79">
        <v>0</v>
      </c>
      <c r="E6" s="82">
        <v>53</v>
      </c>
      <c r="F6" s="58">
        <v>1.75</v>
      </c>
      <c r="G6" s="59">
        <f>(F6-$F$16)^2</f>
        <v>5.5695999999999787E-2</v>
      </c>
      <c r="H6" s="78">
        <v>950</v>
      </c>
      <c r="I6" s="65">
        <f>(H6-$H$16)^2</f>
        <v>74092.840000000026</v>
      </c>
    </row>
    <row r="7" spans="1:12" x14ac:dyDescent="0.25">
      <c r="A7" s="3"/>
      <c r="B7">
        <v>2</v>
      </c>
      <c r="C7" s="78">
        <v>0</v>
      </c>
      <c r="D7" s="79">
        <v>0</v>
      </c>
      <c r="E7" s="82">
        <v>40</v>
      </c>
      <c r="F7" s="58">
        <v>1.61</v>
      </c>
      <c r="G7" s="59">
        <f t="shared" ref="G7:G10" si="0">(F7-$F$16)^2</f>
        <v>0.14137599999999959</v>
      </c>
      <c r="H7" s="78">
        <v>685</v>
      </c>
      <c r="I7" s="65">
        <f t="shared" ref="I7:I15" si="1">(H7-$H$16)^2</f>
        <v>288583.84000000003</v>
      </c>
    </row>
    <row r="8" spans="1:12" x14ac:dyDescent="0.25">
      <c r="A8" s="3"/>
      <c r="B8">
        <v>3</v>
      </c>
      <c r="C8" s="78">
        <v>0</v>
      </c>
      <c r="D8" s="79">
        <v>0</v>
      </c>
      <c r="E8" s="82">
        <v>2</v>
      </c>
      <c r="F8" s="58">
        <v>2.5499999999999998</v>
      </c>
      <c r="G8" s="59">
        <f t="shared" si="0"/>
        <v>0.31809600000000032</v>
      </c>
      <c r="H8" s="78">
        <v>1606</v>
      </c>
      <c r="I8" s="65">
        <f t="shared" si="1"/>
        <v>147302.43999999997</v>
      </c>
    </row>
    <row r="9" spans="1:12" x14ac:dyDescent="0.25">
      <c r="A9" s="3"/>
      <c r="B9">
        <v>4</v>
      </c>
      <c r="C9" s="78">
        <v>0</v>
      </c>
      <c r="D9" s="82">
        <v>6</v>
      </c>
      <c r="E9" s="82">
        <v>42</v>
      </c>
      <c r="F9" s="58">
        <v>1.94</v>
      </c>
      <c r="G9" s="59">
        <f t="shared" si="0"/>
        <v>2.115999999999963E-3</v>
      </c>
      <c r="H9" s="78">
        <v>1261</v>
      </c>
      <c r="I9" s="65">
        <f t="shared" si="1"/>
        <v>1505.4399999999964</v>
      </c>
    </row>
    <row r="10" spans="1:12" x14ac:dyDescent="0.25">
      <c r="A10" s="3"/>
      <c r="B10">
        <v>5</v>
      </c>
      <c r="C10" s="78">
        <v>0</v>
      </c>
      <c r="D10" s="82">
        <v>0</v>
      </c>
      <c r="E10" s="82">
        <v>44</v>
      </c>
      <c r="F10" s="58">
        <v>1.52</v>
      </c>
      <c r="G10" s="59">
        <f t="shared" si="0"/>
        <v>0.21715599999999957</v>
      </c>
      <c r="H10" s="78">
        <v>952</v>
      </c>
      <c r="I10" s="65">
        <f t="shared" si="1"/>
        <v>73008.040000000023</v>
      </c>
    </row>
    <row r="11" spans="1:12" x14ac:dyDescent="0.25">
      <c r="A11" s="3"/>
      <c r="B11">
        <v>6</v>
      </c>
      <c r="C11" s="78">
        <v>0</v>
      </c>
      <c r="D11" s="82">
        <v>0</v>
      </c>
      <c r="E11" s="82">
        <v>2</v>
      </c>
      <c r="F11" s="58">
        <v>1.71</v>
      </c>
      <c r="G11" s="59">
        <f>(F11-$F$16)^2</f>
        <v>7.6175999999999772E-2</v>
      </c>
      <c r="H11" s="78">
        <v>960</v>
      </c>
      <c r="I11" s="65">
        <f t="shared" si="1"/>
        <v>68748.840000000026</v>
      </c>
    </row>
    <row r="12" spans="1:12" x14ac:dyDescent="0.25">
      <c r="A12" s="3"/>
      <c r="B12">
        <v>7</v>
      </c>
      <c r="C12" s="78">
        <v>0</v>
      </c>
      <c r="D12" s="82">
        <v>0</v>
      </c>
      <c r="E12" s="82">
        <v>2</v>
      </c>
      <c r="F12" s="58">
        <v>1.98</v>
      </c>
      <c r="G12" s="59">
        <f>(F12-$F$16)^2</f>
        <v>3.5999999999994736E-5</v>
      </c>
      <c r="H12" s="78">
        <v>1320</v>
      </c>
      <c r="I12" s="65">
        <f t="shared" si="1"/>
        <v>9564.8399999999911</v>
      </c>
    </row>
    <row r="13" spans="1:12" x14ac:dyDescent="0.25">
      <c r="A13" s="3"/>
      <c r="B13">
        <v>8</v>
      </c>
      <c r="C13" s="78">
        <v>0</v>
      </c>
      <c r="D13" s="82">
        <v>0</v>
      </c>
      <c r="E13" s="82">
        <v>4</v>
      </c>
      <c r="F13" s="58">
        <v>2.0099999999999998</v>
      </c>
      <c r="G13" s="59">
        <f>(F13-$F$16)^2</f>
        <v>5.7600000000001172E-4</v>
      </c>
      <c r="H13" s="78">
        <v>1254</v>
      </c>
      <c r="I13" s="65">
        <f t="shared" si="1"/>
        <v>1011.2399999999971</v>
      </c>
    </row>
    <row r="14" spans="1:12" x14ac:dyDescent="0.25">
      <c r="A14" s="3"/>
      <c r="B14">
        <v>9</v>
      </c>
      <c r="C14" s="78">
        <v>0</v>
      </c>
      <c r="D14" s="82">
        <v>0</v>
      </c>
      <c r="E14" s="82">
        <v>40</v>
      </c>
      <c r="F14" s="58">
        <v>2.66</v>
      </c>
      <c r="G14" s="59">
        <f>(F14-$F$16)^2</f>
        <v>0.45427600000000079</v>
      </c>
      <c r="H14" s="78">
        <v>1810</v>
      </c>
      <c r="I14" s="65">
        <f t="shared" si="1"/>
        <v>345508.83999999997</v>
      </c>
    </row>
    <row r="15" spans="1:12" x14ac:dyDescent="0.25">
      <c r="A15" s="6"/>
      <c r="B15" s="8">
        <v>10</v>
      </c>
      <c r="C15" s="80">
        <v>0</v>
      </c>
      <c r="D15" s="81">
        <v>0</v>
      </c>
      <c r="E15" s="81">
        <v>11</v>
      </c>
      <c r="F15" s="60">
        <v>2.13</v>
      </c>
      <c r="G15" s="59">
        <f>(F15-$F$16)^2</f>
        <v>2.0736000000000102E-2</v>
      </c>
      <c r="H15" s="80">
        <v>1424</v>
      </c>
      <c r="I15" s="65">
        <f t="shared" si="1"/>
        <v>40723.239999999983</v>
      </c>
    </row>
    <row r="16" spans="1:12" x14ac:dyDescent="0.25">
      <c r="A16" s="9" t="s">
        <v>35</v>
      </c>
      <c r="B16" s="69"/>
      <c r="C16" s="72">
        <f>AVERAGE(C6:C15)</f>
        <v>0</v>
      </c>
      <c r="D16" s="73">
        <f>AVERAGE(D6:D15)</f>
        <v>0.6</v>
      </c>
      <c r="E16" s="73">
        <f>AVERAGE(E6:E15)</f>
        <v>24</v>
      </c>
      <c r="F16" s="72">
        <f>AVERAGE(F6:F15)</f>
        <v>1.9859999999999995</v>
      </c>
      <c r="G16" s="73">
        <f>SQRT(AVERAGE(G6:G15))</f>
        <v>0.35864188266291491</v>
      </c>
      <c r="H16" s="74">
        <f>AVERAGE(H6:H15)</f>
        <v>1222.2</v>
      </c>
      <c r="I16" s="75">
        <f>SQRT(AVERAGE(I6:I15))</f>
        <v>324.04468827616972</v>
      </c>
    </row>
    <row r="17" spans="1:9" ht="15.75" thickBot="1" x14ac:dyDescent="0.3">
      <c r="A17" s="70" t="s">
        <v>34</v>
      </c>
      <c r="B17" s="71"/>
      <c r="C17" s="61">
        <f>C16/$D$5</f>
        <v>0</v>
      </c>
      <c r="D17" s="41">
        <f>D16/$D$5</f>
        <v>3.7037037037037034E-3</v>
      </c>
      <c r="E17" s="41">
        <f>E16/$D$5</f>
        <v>0.14814814814814814</v>
      </c>
      <c r="F17" s="54"/>
      <c r="G17" s="39"/>
      <c r="H17" s="54"/>
      <c r="I17" s="39"/>
    </row>
    <row r="18" spans="1:9" x14ac:dyDescent="0.25">
      <c r="A18" s="3" t="s">
        <v>17</v>
      </c>
      <c r="B18">
        <v>1</v>
      </c>
      <c r="C18" s="78"/>
      <c r="D18" s="79"/>
      <c r="E18" s="82"/>
      <c r="F18" s="58">
        <v>2.99</v>
      </c>
      <c r="G18" s="59">
        <f>(F18-$F$28)^2</f>
        <v>1.6383999999999916E-2</v>
      </c>
      <c r="H18" s="78">
        <v>1682</v>
      </c>
      <c r="I18" s="65">
        <f>(H18-$H$28)^2</f>
        <v>1953.640000000004</v>
      </c>
    </row>
    <row r="19" spans="1:9" x14ac:dyDescent="0.25">
      <c r="A19" s="3"/>
      <c r="B19">
        <v>2</v>
      </c>
      <c r="C19" s="78"/>
      <c r="D19" s="79"/>
      <c r="E19" s="82"/>
      <c r="F19" s="58">
        <v>1.84</v>
      </c>
      <c r="G19" s="59">
        <f t="shared" ref="G19:G27" si="2">(F19-$F$28)^2</f>
        <v>1.6332839999999995</v>
      </c>
      <c r="H19" s="78">
        <v>919</v>
      </c>
      <c r="I19" s="65">
        <f t="shared" ref="I19:I27" si="3">(H19-$H$28)^2</f>
        <v>516673.43999999994</v>
      </c>
    </row>
    <row r="20" spans="1:9" x14ac:dyDescent="0.25">
      <c r="A20" s="3"/>
      <c r="B20">
        <v>3</v>
      </c>
      <c r="C20" s="78"/>
      <c r="D20" s="79"/>
      <c r="E20" s="82"/>
      <c r="F20" s="58">
        <v>3.06</v>
      </c>
      <c r="G20" s="59">
        <f t="shared" si="2"/>
        <v>3.3639999999999803E-3</v>
      </c>
      <c r="H20" s="78">
        <v>1720</v>
      </c>
      <c r="I20" s="65">
        <f t="shared" si="3"/>
        <v>6756.8400000000074</v>
      </c>
    </row>
    <row r="21" spans="1:9" x14ac:dyDescent="0.25">
      <c r="A21" s="3"/>
      <c r="B21">
        <v>4</v>
      </c>
      <c r="C21" s="78"/>
      <c r="D21" s="82"/>
      <c r="E21" s="82"/>
      <c r="F21" s="58">
        <v>3.03</v>
      </c>
      <c r="G21" s="59">
        <f t="shared" si="2"/>
        <v>7.7440000000000139E-3</v>
      </c>
      <c r="H21" s="78">
        <v>1648</v>
      </c>
      <c r="I21" s="65">
        <f t="shared" si="3"/>
        <v>104.04000000000093</v>
      </c>
    </row>
    <row r="22" spans="1:9" x14ac:dyDescent="0.25">
      <c r="A22" s="3"/>
      <c r="B22">
        <v>5</v>
      </c>
      <c r="C22" s="78"/>
      <c r="D22" s="82"/>
      <c r="E22" s="82"/>
      <c r="F22" s="58">
        <v>4.67</v>
      </c>
      <c r="G22" s="59">
        <f t="shared" si="2"/>
        <v>2.4087040000000002</v>
      </c>
      <c r="H22" s="78">
        <v>2220</v>
      </c>
      <c r="I22" s="65">
        <f t="shared" si="3"/>
        <v>338956.84</v>
      </c>
    </row>
    <row r="23" spans="1:9" x14ac:dyDescent="0.25">
      <c r="A23" s="3"/>
      <c r="B23">
        <v>6</v>
      </c>
      <c r="C23" s="78"/>
      <c r="D23" s="82"/>
      <c r="E23" s="82"/>
      <c r="F23" s="58">
        <v>2.99</v>
      </c>
      <c r="G23" s="59">
        <f t="shared" si="2"/>
        <v>1.6383999999999916E-2</v>
      </c>
      <c r="H23" s="78">
        <v>1682</v>
      </c>
      <c r="I23" s="65">
        <f t="shared" si="3"/>
        <v>1953.640000000004</v>
      </c>
    </row>
    <row r="24" spans="1:9" x14ac:dyDescent="0.25">
      <c r="A24" s="3"/>
      <c r="B24">
        <v>7</v>
      </c>
      <c r="C24" s="78"/>
      <c r="D24" s="82"/>
      <c r="E24" s="82"/>
      <c r="F24" s="58">
        <v>1.84</v>
      </c>
      <c r="G24" s="59">
        <f t="shared" si="2"/>
        <v>1.6332839999999995</v>
      </c>
      <c r="H24" s="78">
        <v>919</v>
      </c>
      <c r="I24" s="65">
        <f t="shared" si="3"/>
        <v>516673.43999999994</v>
      </c>
    </row>
    <row r="25" spans="1:9" x14ac:dyDescent="0.25">
      <c r="A25" s="3"/>
      <c r="B25">
        <v>8</v>
      </c>
      <c r="C25" s="78"/>
      <c r="D25" s="82"/>
      <c r="E25" s="82"/>
      <c r="F25" s="58">
        <v>3.06</v>
      </c>
      <c r="G25" s="59">
        <f t="shared" si="2"/>
        <v>3.3639999999999803E-3</v>
      </c>
      <c r="H25" s="78">
        <v>1720</v>
      </c>
      <c r="I25" s="65">
        <f t="shared" si="3"/>
        <v>6756.8400000000074</v>
      </c>
    </row>
    <row r="26" spans="1:9" x14ac:dyDescent="0.25">
      <c r="A26" s="3"/>
      <c r="B26">
        <v>9</v>
      </c>
      <c r="C26" s="78"/>
      <c r="D26" s="82"/>
      <c r="E26" s="82"/>
      <c r="F26" s="58">
        <v>3.03</v>
      </c>
      <c r="G26" s="59">
        <f t="shared" si="2"/>
        <v>7.7440000000000139E-3</v>
      </c>
      <c r="H26" s="78">
        <v>1648</v>
      </c>
      <c r="I26" s="65">
        <f t="shared" si="3"/>
        <v>104.04000000000093</v>
      </c>
    </row>
    <row r="27" spans="1:9" x14ac:dyDescent="0.25">
      <c r="A27" s="6"/>
      <c r="B27" s="8">
        <v>10</v>
      </c>
      <c r="C27" s="80"/>
      <c r="D27" s="81"/>
      <c r="E27" s="81"/>
      <c r="F27" s="60">
        <v>4.67</v>
      </c>
      <c r="G27" s="59">
        <f t="shared" si="2"/>
        <v>2.4087040000000002</v>
      </c>
      <c r="H27" s="80">
        <v>2220</v>
      </c>
      <c r="I27" s="65">
        <f t="shared" si="3"/>
        <v>338956.84</v>
      </c>
    </row>
    <row r="28" spans="1:9" x14ac:dyDescent="0.25">
      <c r="A28" s="9" t="s">
        <v>35</v>
      </c>
      <c r="B28" s="69"/>
      <c r="C28" s="72" t="e">
        <f>AVERAGE(C18:C27)</f>
        <v>#DIV/0!</v>
      </c>
      <c r="D28" s="73" t="e">
        <f>AVERAGE(D18:D27)</f>
        <v>#DIV/0!</v>
      </c>
      <c r="E28" s="73" t="e">
        <f>AVERAGE(E18:E27)</f>
        <v>#DIV/0!</v>
      </c>
      <c r="F28" s="72">
        <f>AVERAGE(F18:F27)</f>
        <v>3.1179999999999999</v>
      </c>
      <c r="G28" s="73">
        <f>SQRT(AVERAGE(G18:G27))</f>
        <v>0.90216184800732957</v>
      </c>
      <c r="H28" s="74">
        <f>AVERAGE(H18:H27)</f>
        <v>1637.8</v>
      </c>
      <c r="I28" s="75">
        <f>SQRT(AVERAGE(I18:I27))</f>
        <v>415.7991822983783</v>
      </c>
    </row>
    <row r="29" spans="1:9" ht="15.75" thickBot="1" x14ac:dyDescent="0.3">
      <c r="A29" s="70" t="s">
        <v>34</v>
      </c>
      <c r="B29" s="71"/>
      <c r="C29" s="61" t="e">
        <f>C28/$D$5</f>
        <v>#DIV/0!</v>
      </c>
      <c r="D29" s="41" t="e">
        <f>D28/$D$5</f>
        <v>#DIV/0!</v>
      </c>
      <c r="E29" s="41" t="e">
        <f>E28/$D$5</f>
        <v>#DIV/0!</v>
      </c>
      <c r="F29" s="54"/>
      <c r="G29" s="39"/>
      <c r="H29" s="54"/>
      <c r="I29" s="39"/>
    </row>
    <row r="30" spans="1:9" x14ac:dyDescent="0.25">
      <c r="A30" s="3" t="s">
        <v>18</v>
      </c>
      <c r="B30">
        <v>1</v>
      </c>
      <c r="C30" s="78">
        <v>0</v>
      </c>
      <c r="D30" s="79">
        <v>0</v>
      </c>
      <c r="E30" s="82">
        <v>22</v>
      </c>
      <c r="F30" s="58">
        <v>0.51</v>
      </c>
      <c r="G30" s="59">
        <f>(F30-$F$40)^2</f>
        <v>1.0863615999999992E-3</v>
      </c>
      <c r="H30" s="78">
        <v>229</v>
      </c>
      <c r="I30" s="65">
        <f>(H30-$H$40)^2</f>
        <v>249.64000000000036</v>
      </c>
    </row>
    <row r="31" spans="1:9" x14ac:dyDescent="0.25">
      <c r="A31" s="3"/>
      <c r="B31">
        <v>2</v>
      </c>
      <c r="C31" s="78">
        <v>0</v>
      </c>
      <c r="D31" s="79">
        <v>0</v>
      </c>
      <c r="E31" s="82">
        <v>0</v>
      </c>
      <c r="F31" s="58">
        <v>0.65</v>
      </c>
      <c r="G31" s="59">
        <f t="shared" ref="G31:G39" si="4">(F31-$F$40)^2</f>
        <v>1.1457561600000004E-2</v>
      </c>
      <c r="H31" s="78">
        <v>291</v>
      </c>
      <c r="I31" s="65">
        <f t="shared" ref="I31:I39" si="5">(H31-$H$40)^2</f>
        <v>2134.4399999999991</v>
      </c>
    </row>
    <row r="32" spans="1:9" x14ac:dyDescent="0.25">
      <c r="A32" s="3"/>
      <c r="B32">
        <v>3</v>
      </c>
      <c r="C32" s="78">
        <v>0</v>
      </c>
      <c r="D32" s="79">
        <v>0</v>
      </c>
      <c r="E32" s="82">
        <v>0</v>
      </c>
      <c r="F32" s="58">
        <v>0.57999999999999996</v>
      </c>
      <c r="G32" s="59">
        <f t="shared" si="4"/>
        <v>1.3719615999999973E-3</v>
      </c>
      <c r="H32" s="78">
        <v>254</v>
      </c>
      <c r="I32" s="65">
        <f t="shared" si="5"/>
        <v>84.639999999999787</v>
      </c>
    </row>
    <row r="33" spans="1:9" x14ac:dyDescent="0.25">
      <c r="A33" s="3"/>
      <c r="B33">
        <v>4</v>
      </c>
      <c r="C33" s="78">
        <v>0</v>
      </c>
      <c r="D33" s="82">
        <v>0</v>
      </c>
      <c r="E33" s="82">
        <v>0</v>
      </c>
      <c r="F33" s="58">
        <v>0.47949999999999998</v>
      </c>
      <c r="G33" s="59">
        <f t="shared" si="4"/>
        <v>4.0271716000000023E-3</v>
      </c>
      <c r="H33" s="78">
        <v>207</v>
      </c>
      <c r="I33" s="65">
        <f t="shared" si="5"/>
        <v>1428.8400000000008</v>
      </c>
    </row>
    <row r="34" spans="1:9" x14ac:dyDescent="0.25">
      <c r="A34" s="3"/>
      <c r="B34">
        <v>5</v>
      </c>
      <c r="C34" s="78">
        <v>0</v>
      </c>
      <c r="D34" s="82">
        <v>0</v>
      </c>
      <c r="E34" s="82">
        <v>0</v>
      </c>
      <c r="F34" s="58">
        <v>0.49530000000000002</v>
      </c>
      <c r="G34" s="59">
        <f t="shared" si="4"/>
        <v>2.2714755999999983E-3</v>
      </c>
      <c r="H34" s="78">
        <v>243</v>
      </c>
      <c r="I34" s="65">
        <f t="shared" si="5"/>
        <v>3.2400000000000411</v>
      </c>
    </row>
    <row r="35" spans="1:9" x14ac:dyDescent="0.25">
      <c r="A35" s="3"/>
      <c r="B35">
        <v>6</v>
      </c>
      <c r="C35" s="78">
        <v>0</v>
      </c>
      <c r="D35" s="82">
        <v>0</v>
      </c>
      <c r="E35" s="82">
        <v>22</v>
      </c>
      <c r="F35" s="58">
        <v>0.51</v>
      </c>
      <c r="G35" s="59">
        <f t="shared" si="4"/>
        <v>1.0863615999999992E-3</v>
      </c>
      <c r="H35" s="78">
        <v>229</v>
      </c>
      <c r="I35" s="65">
        <f t="shared" si="5"/>
        <v>249.64000000000036</v>
      </c>
    </row>
    <row r="36" spans="1:9" x14ac:dyDescent="0.25">
      <c r="A36" s="3"/>
      <c r="B36">
        <v>7</v>
      </c>
      <c r="C36" s="78">
        <v>0</v>
      </c>
      <c r="D36" s="82">
        <v>0</v>
      </c>
      <c r="E36" s="82">
        <v>0</v>
      </c>
      <c r="F36" s="58">
        <v>0.65</v>
      </c>
      <c r="G36" s="59">
        <f t="shared" si="4"/>
        <v>1.1457561600000004E-2</v>
      </c>
      <c r="H36" s="78">
        <v>291</v>
      </c>
      <c r="I36" s="65">
        <f t="shared" si="5"/>
        <v>2134.4399999999991</v>
      </c>
    </row>
    <row r="37" spans="1:9" x14ac:dyDescent="0.25">
      <c r="A37" s="3"/>
      <c r="B37">
        <v>8</v>
      </c>
      <c r="C37" s="78">
        <v>0</v>
      </c>
      <c r="D37" s="82">
        <v>0</v>
      </c>
      <c r="E37" s="82">
        <v>0</v>
      </c>
      <c r="F37" s="58">
        <v>0.57999999999999996</v>
      </c>
      <c r="G37" s="59">
        <f t="shared" si="4"/>
        <v>1.3719615999999973E-3</v>
      </c>
      <c r="H37" s="78">
        <v>254</v>
      </c>
      <c r="I37" s="65">
        <f t="shared" si="5"/>
        <v>84.639999999999787</v>
      </c>
    </row>
    <row r="38" spans="1:9" x14ac:dyDescent="0.25">
      <c r="A38" s="3"/>
      <c r="B38">
        <v>9</v>
      </c>
      <c r="C38" s="78">
        <v>0</v>
      </c>
      <c r="D38" s="82">
        <v>0</v>
      </c>
      <c r="E38" s="82">
        <v>0</v>
      </c>
      <c r="F38" s="58">
        <v>0.47949999999999998</v>
      </c>
      <c r="G38" s="59">
        <f t="shared" si="4"/>
        <v>4.0271716000000023E-3</v>
      </c>
      <c r="H38" s="78">
        <v>207</v>
      </c>
      <c r="I38" s="65">
        <f t="shared" si="5"/>
        <v>1428.8400000000008</v>
      </c>
    </row>
    <row r="39" spans="1:9" x14ac:dyDescent="0.25">
      <c r="A39" s="6"/>
      <c r="B39" s="8">
        <v>10</v>
      </c>
      <c r="C39" s="80">
        <v>0</v>
      </c>
      <c r="D39" s="81">
        <v>0</v>
      </c>
      <c r="E39" s="81">
        <v>0</v>
      </c>
      <c r="F39" s="60">
        <v>0.49530000000000002</v>
      </c>
      <c r="G39" s="59">
        <f t="shared" si="4"/>
        <v>2.2714755999999983E-3</v>
      </c>
      <c r="H39" s="80">
        <v>243</v>
      </c>
      <c r="I39" s="65">
        <f t="shared" si="5"/>
        <v>3.2400000000000411</v>
      </c>
    </row>
    <row r="40" spans="1:9" x14ac:dyDescent="0.25">
      <c r="A40" s="9" t="s">
        <v>35</v>
      </c>
      <c r="B40" s="69"/>
      <c r="C40" s="72">
        <f>AVERAGE(C30:C39)</f>
        <v>0</v>
      </c>
      <c r="D40" s="73">
        <f>AVERAGE(D30:D39)</f>
        <v>0</v>
      </c>
      <c r="E40" s="73">
        <f>AVERAGE(E30:E39)</f>
        <v>4.4000000000000004</v>
      </c>
      <c r="F40" s="72">
        <f>AVERAGE(F30:F39)</f>
        <v>0.54296</v>
      </c>
      <c r="G40" s="73">
        <f>SQRT(AVERAGE(G30:G39))</f>
        <v>6.3583853296257542E-2</v>
      </c>
      <c r="H40" s="74">
        <f>AVERAGE(H30:H39)</f>
        <v>244.8</v>
      </c>
      <c r="I40" s="75">
        <f>SQRT(AVERAGE(I30:I39))</f>
        <v>27.931344400153748</v>
      </c>
    </row>
    <row r="41" spans="1:9" ht="15.75" thickBot="1" x14ac:dyDescent="0.3">
      <c r="A41" s="70" t="s">
        <v>34</v>
      </c>
      <c r="B41" s="71"/>
      <c r="C41" s="61">
        <f>C40/$D$5</f>
        <v>0</v>
      </c>
      <c r="D41" s="41">
        <f>D40/$D$5</f>
        <v>0</v>
      </c>
      <c r="E41" s="41">
        <f>E40/$D$5</f>
        <v>2.7160493827160497E-2</v>
      </c>
      <c r="F41" s="54"/>
      <c r="G41" s="39"/>
      <c r="H41" s="54"/>
      <c r="I41" s="39"/>
    </row>
  </sheetData>
  <mergeCells count="19">
    <mergeCell ref="A29:B29"/>
    <mergeCell ref="A30:A39"/>
    <mergeCell ref="A40:B40"/>
    <mergeCell ref="A41:B41"/>
    <mergeCell ref="D5:E5"/>
    <mergeCell ref="A6:A15"/>
    <mergeCell ref="A16:B16"/>
    <mergeCell ref="A17:B17"/>
    <mergeCell ref="A18:A27"/>
    <mergeCell ref="A28:B28"/>
    <mergeCell ref="A1:I1"/>
    <mergeCell ref="A2:A4"/>
    <mergeCell ref="B2:B4"/>
    <mergeCell ref="C2:E2"/>
    <mergeCell ref="F2:G3"/>
    <mergeCell ref="H2:I3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1</vt:lpstr>
      <vt:lpstr>Task 2</vt:lpstr>
      <vt:lpstr>Task 3</vt:lpstr>
      <vt:lpstr>Task 3.5</vt:lpstr>
      <vt:lpstr>Task 4</vt:lpstr>
      <vt:lpstr>Task 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Hell</dc:creator>
  <cp:lastModifiedBy>Andreas Hell</cp:lastModifiedBy>
  <dcterms:created xsi:type="dcterms:W3CDTF">2015-06-05T18:19:34Z</dcterms:created>
  <dcterms:modified xsi:type="dcterms:W3CDTF">2026-03-30T02:12:10Z</dcterms:modified>
</cp:coreProperties>
</file>